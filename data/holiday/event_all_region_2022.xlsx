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st\Desktop\"/>
    </mc:Choice>
  </mc:AlternateContent>
  <xr:revisionPtr revIDLastSave="0" documentId="13_ncr:1_{3919374E-7721-4867-BD49-77E0FFD10E87}" xr6:coauthVersionLast="36" xr6:coauthVersionMax="36" xr10:uidLastSave="{00000000-0000-0000-0000-000000000000}"/>
  <bookViews>
    <workbookView xWindow="0" yWindow="0" windowWidth="28800" windowHeight="11850" xr2:uid="{FED243F5-BF6A-4644-B486-049BA86B5F1C}"/>
  </bookViews>
  <sheets>
    <sheet name="총괄" sheetId="1" r:id="rId1"/>
    <sheet name="세부현황" sheetId="2" r:id="rId2"/>
  </sheets>
  <definedNames>
    <definedName name="_xlnm._FilterDatabase" localSheetId="1" hidden="1">세부현황!$V$3:$V$951</definedName>
    <definedName name="_xlnm.Print_Area" localSheetId="1">세부현황!$A$1:$W$951</definedName>
    <definedName name="_xlnm.Print_Area" localSheetId="0">총괄!$A$1:$T$22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44" i="2" l="1"/>
  <c r="N922" i="2"/>
  <c r="N872" i="2" l="1"/>
  <c r="N871" i="2"/>
  <c r="N870" i="2"/>
  <c r="N869" i="2"/>
  <c r="N868" i="2"/>
  <c r="N867" i="2"/>
  <c r="N866" i="2"/>
  <c r="N862" i="2" l="1"/>
  <c r="N856" i="2"/>
  <c r="N855" i="2"/>
  <c r="N836" i="2" l="1"/>
  <c r="N830" i="2"/>
  <c r="N263" i="2" l="1"/>
  <c r="N262" i="2"/>
  <c r="N261" i="2"/>
  <c r="N250" i="2"/>
  <c r="N249" i="2"/>
  <c r="N219" i="2"/>
  <c r="N218" i="2"/>
  <c r="N217" i="2"/>
  <c r="N213" i="2"/>
  <c r="N212" i="2"/>
  <c r="N211" i="2"/>
  <c r="N209" i="2"/>
  <c r="N208" i="2"/>
  <c r="N207" i="2"/>
  <c r="N205" i="2"/>
  <c r="N203" i="2"/>
  <c r="N202" i="2"/>
  <c r="N201" i="2"/>
  <c r="N200" i="2"/>
  <c r="S6" i="1" l="1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599" i="2" l="1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 l="1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 l="1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187" i="2" l="1"/>
  <c r="N1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사용자</author>
    <author>광주광역시청</author>
  </authors>
  <commentList>
    <comment ref="O26" authorId="0" shapeId="0" xr:uid="{97C87324-CE7B-4EEE-B69F-DB24F9A5386A}">
      <text>
        <r>
          <rPr>
            <b/>
            <sz val="9"/>
            <color indexed="81"/>
            <rFont val="Tahoma"/>
            <family val="2"/>
          </rPr>
          <t>2019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O27" authorId="0" shapeId="0" xr:uid="{DEE9F482-05D9-4BCB-8AE7-8E1C196074F3}">
      <text>
        <r>
          <rPr>
            <b/>
            <sz val="9"/>
            <color indexed="81"/>
            <rFont val="Tahoma"/>
            <family val="2"/>
          </rPr>
          <t>2019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>(2020~2021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거리두기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전시형태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31" authorId="0" shapeId="0" xr:uid="{C5797BD0-4EFD-4449-B9AB-0E6748B2A913}">
      <text>
        <r>
          <rPr>
            <b/>
            <sz val="9"/>
            <color indexed="81"/>
            <rFont val="Tahoma"/>
            <family val="2"/>
          </rPr>
          <t>2019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O251" authorId="1" shapeId="0" xr:uid="{0242B720-E204-4EC6-B24E-B8CE31AAFE95}">
      <text>
        <r>
          <rPr>
            <b/>
            <sz val="12"/>
            <color indexed="81"/>
            <rFont val="Tahoma"/>
            <family val="2"/>
          </rPr>
          <t>2019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축제평가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용역시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내외국인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구분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없이
단순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방문객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집계</t>
        </r>
      </text>
    </comment>
    <comment ref="O866" authorId="2" shapeId="0" xr:uid="{A53CD812-C3FE-4B6D-9997-A1FF5F5AB54D}">
      <text>
        <r>
          <rPr>
            <b/>
            <sz val="12"/>
            <color indexed="81"/>
            <rFont val="돋움"/>
            <family val="3"/>
            <charset val="129"/>
          </rPr>
          <t>광주광역시청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온라인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포함</t>
        </r>
      </text>
    </comment>
    <comment ref="O868" authorId="2" shapeId="0" xr:uid="{455F745E-6880-4A6F-8FBF-9A3B59A9D0D8}">
      <text>
        <r>
          <rPr>
            <b/>
            <sz val="12"/>
            <color indexed="81"/>
            <rFont val="돋움"/>
            <family val="3"/>
            <charset val="129"/>
          </rPr>
          <t>광주광역시청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대면</t>
        </r>
        <r>
          <rPr>
            <sz val="12"/>
            <color indexed="81"/>
            <rFont val="Tahoma"/>
            <family val="2"/>
          </rPr>
          <t xml:space="preserve"> + </t>
        </r>
        <r>
          <rPr>
            <sz val="12"/>
            <color indexed="81"/>
            <rFont val="돋움"/>
            <family val="3"/>
            <charset val="129"/>
          </rPr>
          <t>온라인</t>
        </r>
      </text>
    </comment>
    <comment ref="O870" authorId="2" shapeId="0" xr:uid="{0E194BD6-FACB-43C8-A492-6A681BF93E98}">
      <text>
        <r>
          <rPr>
            <b/>
            <sz val="9"/>
            <color indexed="81"/>
            <rFont val="돋움"/>
            <family val="3"/>
            <charset val="129"/>
          </rPr>
          <t>광주광역시청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현장개최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실적</t>
        </r>
      </text>
    </comment>
  </commentList>
</comments>
</file>

<file path=xl/sharedStrings.xml><?xml version="1.0" encoding="utf-8"?>
<sst xmlns="http://schemas.openxmlformats.org/spreadsheetml/2006/main" count="12707" uniqueCount="5406">
  <si>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</si>
  <si>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</si>
  <si>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</si>
  <si>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</si>
  <si>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</si>
  <si>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</si>
  <si>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</si>
  <si>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</si>
  <si>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</si>
  <si>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</si>
  <si>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</si>
  <si>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</si>
  <si>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</si>
  <si>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</si>
  <si>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</si>
  <si>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</si>
  <si>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</si>
  <si>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합계</t>
    <phoneticPr fontId="2" type="noConversion"/>
  </si>
  <si>
    <t>※ 작성 대상
 일정기간(2일 이상) 지역주민, 지역단체, 지방
 정부가 개최하며, 불특정 다수인이 함께 참여하는 
 문화관광예술축제 (문화관광축제, 특산물축제, 
 문화예술제, 일반축제 등)
ㅇ 국가에서 지원하는 축제
ㅇ 지자체 주최(주관)하는 축제
ㅇ 지자체에서 경비 지원 또는 후원하는 축제
ㅇ 민간에서 추진위를 구성하여 개최하는 축제
ㅇ 문화체육관광부 지정 문화관광축제도 포함</t>
    <phoneticPr fontId="2" type="noConversion"/>
  </si>
  <si>
    <t xml:space="preserve">※ 작성제외대상
 ㅇ 특정계층만 참여하는 행사 
    (경연대회, 가요제, 미술제, 연극제, 기념식, 시상식 등)
 ㅇ 단순 주민위안 행사 (경로잔치 등)
 ㅇ 순수 예술행사 (음악회, 전시회 등)
 ㅇ 기타 종합적인 축제로서의 성격이 약한 행사는 제외
    (학술행사, 국제회의, 시민의날, 엑스포, 박람회, 패션쇼 등) </t>
    <phoneticPr fontId="2" type="noConversion"/>
  </si>
  <si>
    <t>2022년 지역축제 개최 계획</t>
    <phoneticPr fontId="2" type="noConversion"/>
  </si>
  <si>
    <t>2022년 지역축제 개최 계획(1~12월)</t>
    <phoneticPr fontId="2" type="noConversion"/>
  </si>
  <si>
    <t>(단위: 개)</t>
    <phoneticPr fontId="2" type="noConversion"/>
  </si>
  <si>
    <t>연번</t>
    <phoneticPr fontId="2" type="noConversion"/>
  </si>
  <si>
    <t>축제명</t>
    <phoneticPr fontId="2" type="noConversion"/>
  </si>
  <si>
    <t>개최기간</t>
    <phoneticPr fontId="2" type="noConversion"/>
  </si>
  <si>
    <t>전담조직명</t>
    <phoneticPr fontId="2" type="noConversion"/>
  </si>
  <si>
    <t>설립근거</t>
    <phoneticPr fontId="2" type="noConversion"/>
  </si>
  <si>
    <t>전담조직(축제사무국)</t>
    <phoneticPr fontId="2" type="noConversion"/>
  </si>
  <si>
    <t>조직형태</t>
    <phoneticPr fontId="2" type="noConversion"/>
  </si>
  <si>
    <t>내국인</t>
    <phoneticPr fontId="2" type="noConversion"/>
  </si>
  <si>
    <t>외국인</t>
    <phoneticPr fontId="2" type="noConversion"/>
  </si>
  <si>
    <t>방문객수(前년)</t>
    <phoneticPr fontId="2" type="noConversion"/>
  </si>
  <si>
    <t>국비</t>
    <phoneticPr fontId="2" type="noConversion"/>
  </si>
  <si>
    <t>지방비</t>
    <phoneticPr fontId="2" type="noConversion"/>
  </si>
  <si>
    <t>기타</t>
    <phoneticPr fontId="2" type="noConversion"/>
  </si>
  <si>
    <t>국비지원
부처명</t>
    <phoneticPr fontId="2" type="noConversion"/>
  </si>
  <si>
    <t>개최방식</t>
    <phoneticPr fontId="2" type="noConversion"/>
  </si>
  <si>
    <t>개최장소</t>
    <phoneticPr fontId="2" type="noConversion"/>
  </si>
  <si>
    <t>종로구</t>
    <phoneticPr fontId="2" type="noConversion"/>
  </si>
  <si>
    <t>1998년</t>
    <phoneticPr fontId="2" type="noConversion"/>
  </si>
  <si>
    <t>예산(백만원)</t>
    <phoneticPr fontId="2" type="noConversion"/>
  </si>
  <si>
    <t>재단법인</t>
    <phoneticPr fontId="2" type="noConversion"/>
  </si>
  <si>
    <t>문체부</t>
    <phoneticPr fontId="2" type="noConversion"/>
  </si>
  <si>
    <t>담당자</t>
    <phoneticPr fontId="2" type="noConversion"/>
  </si>
  <si>
    <t>성명</t>
    <phoneticPr fontId="2" type="noConversion"/>
  </si>
  <si>
    <t>연락처</t>
    <phoneticPr fontId="2" type="noConversion"/>
  </si>
  <si>
    <t>광역
단체명</t>
    <phoneticPr fontId="2" type="noConversion"/>
  </si>
  <si>
    <t>기초
단체명</t>
    <phoneticPr fontId="2" type="noConversion"/>
  </si>
  <si>
    <t>최초
개최년도</t>
    <phoneticPr fontId="2" type="noConversion"/>
  </si>
  <si>
    <t>전통역사</t>
    <phoneticPr fontId="2" type="noConversion"/>
  </si>
  <si>
    <t>대면</t>
    <phoneticPr fontId="2" type="noConversion"/>
  </si>
  <si>
    <t>축제유형</t>
    <phoneticPr fontId="2" type="noConversion"/>
  </si>
  <si>
    <t>본청</t>
    <phoneticPr fontId="2" type="noConversion"/>
  </si>
  <si>
    <t>2022 서울빛초롱축제</t>
    <phoneticPr fontId="2" type="noConversion"/>
  </si>
  <si>
    <t>문화예술</t>
    <phoneticPr fontId="2" type="noConversion"/>
  </si>
  <si>
    <t>11.4.~20.(예정)</t>
    <phoneticPr fontId="2" type="noConversion"/>
  </si>
  <si>
    <t>오프라인</t>
    <phoneticPr fontId="2" type="noConversion"/>
  </si>
  <si>
    <t>700(시비)</t>
    <phoneticPr fontId="2" type="noConversion"/>
  </si>
  <si>
    <t>서울관광재단</t>
    <phoneticPr fontId="2" type="noConversion"/>
  </si>
  <si>
    <t>서울특별시</t>
    <phoneticPr fontId="2" type="noConversion"/>
  </si>
  <si>
    <t>유가은</t>
    <phoneticPr fontId="2" type="noConversion"/>
  </si>
  <si>
    <t>02-3788-0845</t>
    <phoneticPr fontId="2" type="noConversion"/>
  </si>
  <si>
    <t>강동구</t>
    <phoneticPr fontId="2" type="noConversion"/>
  </si>
  <si>
    <t>제27회 강동선사문화축제</t>
    <phoneticPr fontId="2" type="noConversion"/>
  </si>
  <si>
    <t>22. 10. 8.~10.</t>
    <phoneticPr fontId="2" type="noConversion"/>
  </si>
  <si>
    <t>서울 암사동 유적 일대</t>
    <phoneticPr fontId="2" type="noConversion"/>
  </si>
  <si>
    <t>혼합형</t>
    <phoneticPr fontId="2" type="noConversion"/>
  </si>
  <si>
    <t>-</t>
    <phoneticPr fontId="2" type="noConversion"/>
  </si>
  <si>
    <t>지방자치단체</t>
    <phoneticPr fontId="2" type="noConversion"/>
  </si>
  <si>
    <t>서울특별시 강동구 선사문화축제에 관한 조례</t>
    <phoneticPr fontId="2" type="noConversion"/>
  </si>
  <si>
    <t>이지용</t>
    <phoneticPr fontId="2" type="noConversion"/>
  </si>
  <si>
    <t>02-3425-8533</t>
    <phoneticPr fontId="2" type="noConversion"/>
  </si>
  <si>
    <t>강서구</t>
    <phoneticPr fontId="2" type="noConversion"/>
  </si>
  <si>
    <t>허준축제</t>
    <phoneticPr fontId="2" type="noConversion"/>
  </si>
  <si>
    <t>10.6.~10.9.</t>
    <phoneticPr fontId="2" type="noConversion"/>
  </si>
  <si>
    <t>허준근린공원, 허준박물관 일대</t>
  </si>
  <si>
    <t>50,000명</t>
    <phoneticPr fontId="2" type="noConversion"/>
  </si>
  <si>
    <t>1,500명</t>
    <phoneticPr fontId="2" type="noConversion"/>
  </si>
  <si>
    <t>허준축제추진위원회</t>
    <phoneticPr fontId="2" type="noConversion"/>
  </si>
  <si>
    <t>임의단체
(축제추진위원회)</t>
  </si>
  <si>
    <t>없음</t>
    <phoneticPr fontId="2" type="noConversion"/>
  </si>
  <si>
    <t>신옥현</t>
    <phoneticPr fontId="2" type="noConversion"/>
  </si>
  <si>
    <t>02-2600-6455</t>
    <phoneticPr fontId="2" type="noConversion"/>
  </si>
  <si>
    <t>구로구</t>
    <phoneticPr fontId="2" type="noConversion"/>
  </si>
  <si>
    <t>2022 구로G페스티벌</t>
    <phoneticPr fontId="2" type="noConversion"/>
  </si>
  <si>
    <t>기타(주민화합)</t>
    <phoneticPr fontId="2" type="noConversion"/>
  </si>
  <si>
    <t>9.30~10.2</t>
    <phoneticPr fontId="2" type="noConversion"/>
  </si>
  <si>
    <t>안양천일대</t>
    <phoneticPr fontId="2" type="noConversion"/>
  </si>
  <si>
    <t>구로구 문화관광과</t>
    <phoneticPr fontId="2" type="noConversion"/>
  </si>
  <si>
    <t>구청</t>
    <phoneticPr fontId="2" type="noConversion"/>
  </si>
  <si>
    <t>정인환</t>
    <phoneticPr fontId="2" type="noConversion"/>
  </si>
  <si>
    <t>02-860-2060</t>
    <phoneticPr fontId="2" type="noConversion"/>
  </si>
  <si>
    <t>노원구</t>
    <phoneticPr fontId="2" type="noConversion"/>
  </si>
  <si>
    <t>노원달빛산책</t>
    <phoneticPr fontId="2" type="noConversion"/>
  </si>
  <si>
    <t>생태자연</t>
    <phoneticPr fontId="2" type="noConversion"/>
  </si>
  <si>
    <t>10.7.~10.23.</t>
    <phoneticPr fontId="2" type="noConversion"/>
  </si>
  <si>
    <t>당현천 일원</t>
    <phoneticPr fontId="2" type="noConversion"/>
  </si>
  <si>
    <t>2014년</t>
    <phoneticPr fontId="2" type="noConversion"/>
  </si>
  <si>
    <t>731,051명</t>
    <phoneticPr fontId="2" type="noConversion"/>
  </si>
  <si>
    <t>67명</t>
    <phoneticPr fontId="2" type="noConversion"/>
  </si>
  <si>
    <t>노원문화재단</t>
    <phoneticPr fontId="2" type="noConversion"/>
  </si>
  <si>
    <t xml:space="preserve">서울시 노원구 문화재단 설립 및 운영에 관한조례 </t>
    <phoneticPr fontId="2" type="noConversion"/>
  </si>
  <si>
    <t>남예운</t>
    <phoneticPr fontId="2" type="noConversion"/>
  </si>
  <si>
    <t>02-2116-3776</t>
    <phoneticPr fontId="2" type="noConversion"/>
  </si>
  <si>
    <t>수제맥주축제</t>
    <phoneticPr fontId="2" type="noConversion"/>
  </si>
  <si>
    <t>주민화합</t>
    <phoneticPr fontId="2" type="noConversion"/>
  </si>
  <si>
    <t>9.10.~9.11.</t>
    <phoneticPr fontId="2" type="noConversion"/>
  </si>
  <si>
    <t>노원불빛정원</t>
    <phoneticPr fontId="2" type="noConversion"/>
  </si>
  <si>
    <t>2020년</t>
    <phoneticPr fontId="2" type="noConversion"/>
  </si>
  <si>
    <t xml:space="preserve">서울 </t>
    <phoneticPr fontId="2" type="noConversion"/>
  </si>
  <si>
    <t>노원탈축제</t>
    <phoneticPr fontId="2" type="noConversion"/>
  </si>
  <si>
    <t>10.1.~10.2.</t>
    <phoneticPr fontId="2" type="noConversion"/>
  </si>
  <si>
    <t>노해로 일원</t>
    <phoneticPr fontId="2" type="noConversion"/>
  </si>
  <si>
    <t>2013년</t>
    <phoneticPr fontId="2" type="noConversion"/>
  </si>
  <si>
    <t>서초구</t>
    <phoneticPr fontId="2" type="noConversion"/>
  </si>
  <si>
    <t>2022 서리풀페스티벌</t>
    <phoneticPr fontId="2" type="noConversion"/>
  </si>
  <si>
    <t>9.19.~9.25.</t>
    <phoneticPr fontId="2" type="noConversion"/>
  </si>
  <si>
    <t>서초구 전역</t>
    <phoneticPr fontId="2" type="noConversion"/>
  </si>
  <si>
    <t>ㅇ대면</t>
  </si>
  <si>
    <t>27만(2019년)</t>
    <phoneticPr fontId="2" type="noConversion"/>
  </si>
  <si>
    <t>서초문화재단</t>
    <phoneticPr fontId="2" type="noConversion"/>
  </si>
  <si>
    <t>서울특별시 서초구 문화재단 설립 및 운영에 관한 조례(2015년)</t>
    <phoneticPr fontId="2" type="noConversion"/>
  </si>
  <si>
    <t>이민섭</t>
    <phoneticPr fontId="2" type="noConversion"/>
  </si>
  <si>
    <t>02-2155-6228</t>
    <phoneticPr fontId="2" type="noConversion"/>
  </si>
  <si>
    <t>성동구</t>
    <phoneticPr fontId="2" type="noConversion"/>
  </si>
  <si>
    <t>태조이성계축제</t>
    <phoneticPr fontId="2" type="noConversion"/>
  </si>
  <si>
    <t>9~10월중(1일)</t>
    <phoneticPr fontId="2" type="noConversion"/>
  </si>
  <si>
    <t>살곶이체육공원</t>
    <phoneticPr fontId="2" type="noConversion"/>
  </si>
  <si>
    <t>3,000명('19년)</t>
    <phoneticPr fontId="2" type="noConversion"/>
  </si>
  <si>
    <t>성동문화재단</t>
    <phoneticPr fontId="2" type="noConversion"/>
  </si>
  <si>
    <t>성동문화재단 설립에 관한조례</t>
    <phoneticPr fontId="2" type="noConversion"/>
  </si>
  <si>
    <t>전지영</t>
    <phoneticPr fontId="2" type="noConversion"/>
  </si>
  <si>
    <t>02-2286-5203</t>
    <phoneticPr fontId="2" type="noConversion"/>
  </si>
  <si>
    <t>응봉산개나리축제</t>
    <phoneticPr fontId="2" type="noConversion"/>
  </si>
  <si>
    <t>3~4월(3일간)</t>
    <phoneticPr fontId="2" type="noConversion"/>
  </si>
  <si>
    <t>응봉산</t>
    <phoneticPr fontId="2" type="noConversion"/>
  </si>
  <si>
    <t>50,000명('19년)</t>
    <phoneticPr fontId="2" type="noConversion"/>
  </si>
  <si>
    <t>두모포 페스티벌</t>
    <phoneticPr fontId="2" type="noConversion"/>
  </si>
  <si>
    <t>6월 중(미정)</t>
    <phoneticPr fontId="2" type="noConversion"/>
  </si>
  <si>
    <t>왕십리광장</t>
    <phoneticPr fontId="2" type="noConversion"/>
  </si>
  <si>
    <t>5,000명('19년)</t>
    <phoneticPr fontId="2" type="noConversion"/>
  </si>
  <si>
    <t>이지혜</t>
    <phoneticPr fontId="2" type="noConversion"/>
  </si>
  <si>
    <t>02-2286-5207</t>
    <phoneticPr fontId="2" type="noConversion"/>
  </si>
  <si>
    <t>세계민속춤 축제</t>
    <phoneticPr fontId="2" type="noConversion"/>
  </si>
  <si>
    <t>9월 중(미정)</t>
    <phoneticPr fontId="2" type="noConversion"/>
  </si>
  <si>
    <t>2,000명('19년)</t>
    <phoneticPr fontId="2" type="noConversion"/>
  </si>
  <si>
    <t>양천구</t>
    <phoneticPr fontId="2" type="noConversion"/>
  </si>
  <si>
    <t>해우리 문화축제</t>
    <phoneticPr fontId="2" type="noConversion"/>
  </si>
  <si>
    <t>반려 악기, 반려 식물 등의 콘텐츠를 체험하는 반려 문화 축제</t>
  </si>
  <si>
    <t>9~10월</t>
    <phoneticPr fontId="2" type="noConversion"/>
  </si>
  <si>
    <t>양천공원</t>
    <phoneticPr fontId="2" type="noConversion"/>
  </si>
  <si>
    <t>양천문화재단</t>
    <phoneticPr fontId="2" type="noConversion"/>
  </si>
  <si>
    <t>서울특별시 양천구 문화재단 설립 및 운영에 관한 조례</t>
  </si>
  <si>
    <t>고현일</t>
    <phoneticPr fontId="2" type="noConversion"/>
  </si>
  <si>
    <t>2620-3404</t>
    <phoneticPr fontId="2" type="noConversion"/>
  </si>
  <si>
    <t>영등포구</t>
    <phoneticPr fontId="2" type="noConversion"/>
  </si>
  <si>
    <t>제17회 영등포 여의도 봄꽃축제</t>
    <phoneticPr fontId="2" type="noConversion"/>
  </si>
  <si>
    <t>3월말~4월초 중</t>
    <phoneticPr fontId="2" type="noConversion"/>
  </si>
  <si>
    <t>여의서로 및 한강공원 일대</t>
    <phoneticPr fontId="2" type="noConversion"/>
  </si>
  <si>
    <t>523만명</t>
    <phoneticPr fontId="2" type="noConversion"/>
  </si>
  <si>
    <t>영등포구청</t>
    <phoneticPr fontId="2" type="noConversion"/>
  </si>
  <si>
    <t>지자체</t>
    <phoneticPr fontId="2" type="noConversion"/>
  </si>
  <si>
    <t>전수린</t>
    <phoneticPr fontId="2" type="noConversion"/>
  </si>
  <si>
    <t>2670-3128</t>
    <phoneticPr fontId="2" type="noConversion"/>
  </si>
  <si>
    <t>용산구</t>
    <phoneticPr fontId="2" type="noConversion"/>
  </si>
  <si>
    <t>2022 이태원 지구촌 축제</t>
    <phoneticPr fontId="2" type="noConversion"/>
  </si>
  <si>
    <t>10월중</t>
    <phoneticPr fontId="2" type="noConversion"/>
  </si>
  <si>
    <t>이태원관광특구 일대</t>
    <phoneticPr fontId="2" type="noConversion"/>
  </si>
  <si>
    <t>대면 / 혼합형</t>
    <phoneticPr fontId="2" type="noConversion"/>
  </si>
  <si>
    <t>2002년</t>
    <phoneticPr fontId="2" type="noConversion"/>
  </si>
  <si>
    <t>2020 
미개최</t>
    <phoneticPr fontId="2" type="noConversion"/>
  </si>
  <si>
    <t>이태원관광특구연합회</t>
    <phoneticPr fontId="2" type="noConversion"/>
  </si>
  <si>
    <t>사단법인</t>
    <phoneticPr fontId="2" type="noConversion"/>
  </si>
  <si>
    <t>박윤하</t>
    <phoneticPr fontId="2" type="noConversion"/>
  </si>
  <si>
    <t>02-2199-7254</t>
    <phoneticPr fontId="2" type="noConversion"/>
  </si>
  <si>
    <t>중랑구</t>
    <phoneticPr fontId="2" type="noConversion"/>
  </si>
  <si>
    <t>2022 서울장미축제</t>
    <phoneticPr fontId="2" type="noConversion"/>
  </si>
  <si>
    <t>5월중</t>
    <phoneticPr fontId="2" type="noConversion"/>
  </si>
  <si>
    <t>중랑장미공원</t>
    <phoneticPr fontId="2" type="noConversion"/>
  </si>
  <si>
    <t>중랑문화재단</t>
    <phoneticPr fontId="2" type="noConversion"/>
  </si>
  <si>
    <t>서울특별시 중랑문화재단 설립 및 운영에 관한 조례</t>
    <phoneticPr fontId="2" type="noConversion"/>
  </si>
  <si>
    <t>김승찬</t>
    <phoneticPr fontId="2" type="noConversion"/>
  </si>
  <si>
    <t>02-2094-1823</t>
    <phoneticPr fontId="2" type="noConversion"/>
  </si>
  <si>
    <t>2022 용마폭포문화예술축제</t>
    <phoneticPr fontId="2" type="noConversion"/>
  </si>
  <si>
    <t>용마폭포공원</t>
    <phoneticPr fontId="2" type="noConversion"/>
  </si>
  <si>
    <t>북페스티벌</t>
    <phoneticPr fontId="2" type="noConversion"/>
  </si>
  <si>
    <t>4월/10월중</t>
    <phoneticPr fontId="2" type="noConversion"/>
  </si>
  <si>
    <t>면목동/망우동</t>
    <phoneticPr fontId="2" type="noConversion"/>
  </si>
  <si>
    <t>신건주</t>
    <phoneticPr fontId="2" type="noConversion"/>
  </si>
  <si>
    <t>02-2094-1834</t>
    <phoneticPr fontId="2" type="noConversion"/>
  </si>
  <si>
    <t>도봉구</t>
    <phoneticPr fontId="2" type="noConversion"/>
  </si>
  <si>
    <t>도봉과학축제</t>
    <phoneticPr fontId="2" type="noConversion"/>
  </si>
  <si>
    <t>7월 중</t>
    <phoneticPr fontId="2" type="noConversion"/>
  </si>
  <si>
    <t>도봉구청</t>
    <phoneticPr fontId="2" type="noConversion"/>
  </si>
  <si>
    <t>공공(구)</t>
    <phoneticPr fontId="2" type="noConversion"/>
  </si>
  <si>
    <t>자체추진</t>
    <phoneticPr fontId="2" type="noConversion"/>
  </si>
  <si>
    <t>김채안</t>
    <phoneticPr fontId="2" type="noConversion"/>
  </si>
  <si>
    <t>02-2091-2302</t>
    <phoneticPr fontId="2" type="noConversion"/>
  </si>
  <si>
    <t>도봉구 등 축제</t>
    <phoneticPr fontId="2" type="noConversion"/>
  </si>
  <si>
    <t>9월~10월</t>
    <phoneticPr fontId="2" type="noConversion"/>
  </si>
  <si>
    <t>방학천,
우이천</t>
    <phoneticPr fontId="2" type="noConversion"/>
  </si>
  <si>
    <t>강영숙</t>
    <phoneticPr fontId="2" type="noConversion"/>
  </si>
  <si>
    <t>02-2091-2254</t>
    <phoneticPr fontId="2" type="noConversion"/>
  </si>
  <si>
    <t>도봉산 페스티벌</t>
    <phoneticPr fontId="2" type="noConversion"/>
  </si>
  <si>
    <t>9.24.~25.</t>
    <phoneticPr fontId="2" type="noConversion"/>
  </si>
  <si>
    <t>다락원
체육공원</t>
    <phoneticPr fontId="2" type="noConversion"/>
  </si>
  <si>
    <t>도봉문화재단</t>
    <phoneticPr fontId="2" type="noConversion"/>
  </si>
  <si>
    <t>지역문화진흥법</t>
    <phoneticPr fontId="2" type="noConversion"/>
  </si>
  <si>
    <t>김민휘</t>
    <phoneticPr fontId="2" type="noConversion"/>
  </si>
  <si>
    <t>02-908-2914</t>
    <phoneticPr fontId="2" type="noConversion"/>
  </si>
  <si>
    <t xml:space="preserve">도봉서원 선비문화제 </t>
    <phoneticPr fontId="2" type="noConversion"/>
  </si>
  <si>
    <t>4.10 / 10.5</t>
    <phoneticPr fontId="2" type="noConversion"/>
  </si>
  <si>
    <t>도봉서원</t>
    <phoneticPr fontId="2" type="noConversion"/>
  </si>
  <si>
    <t>도봉문화원</t>
    <phoneticPr fontId="2" type="noConversion"/>
  </si>
  <si>
    <t>법정법인</t>
    <phoneticPr fontId="2" type="noConversion"/>
  </si>
  <si>
    <t>ㅇ 지방문화원진흥법
ㅇ 서울특별시 지방문화원 설립ㆍ운영
    등에 관한 조례</t>
    <phoneticPr fontId="2" type="noConversion"/>
  </si>
  <si>
    <t>진현우</t>
    <phoneticPr fontId="2" type="noConversion"/>
  </si>
  <si>
    <t>02-905-4026</t>
    <phoneticPr fontId="2" type="noConversion"/>
  </si>
  <si>
    <t>도봉옛길 문화제</t>
    <phoneticPr fontId="2" type="noConversion"/>
  </si>
  <si>
    <t>5월 중</t>
    <phoneticPr fontId="2" type="noConversion"/>
  </si>
  <si>
    <t>도봉구
일대</t>
    <phoneticPr fontId="2" type="noConversion"/>
  </si>
  <si>
    <t>창2동 에코! 벚꽃축제</t>
    <phoneticPr fontId="2" type="noConversion"/>
  </si>
  <si>
    <t>4월 중</t>
    <phoneticPr fontId="2" type="noConversion"/>
  </si>
  <si>
    <t>창2동
일대</t>
    <phoneticPr fontId="2" type="noConversion"/>
  </si>
  <si>
    <t>창2동에코
벚꽃축제
추진위원회</t>
    <phoneticPr fontId="2" type="noConversion"/>
  </si>
  <si>
    <t>조직위</t>
    <phoneticPr fontId="2" type="noConversion"/>
  </si>
  <si>
    <t>ㅇ 지방행정체제 개편에 관한 특별법
ㅇ 서울특별시 도봉구 주민자치회 및
    자치회관 설치·운영에 관한 조례</t>
    <phoneticPr fontId="2" type="noConversion"/>
  </si>
  <si>
    <t>이기성</t>
    <phoneticPr fontId="2" type="noConversion"/>
  </si>
  <si>
    <t>02-2091-5708</t>
    <phoneticPr fontId="2" type="noConversion"/>
  </si>
  <si>
    <t>울산</t>
  </si>
  <si>
    <t>울산태화강 대숲납량축제</t>
  </si>
  <si>
    <t>기타</t>
  </si>
  <si>
    <t>2022. 8.11.~8.14</t>
  </si>
  <si>
    <t>태화강 국가정원</t>
  </si>
  <si>
    <t>대면</t>
  </si>
  <si>
    <t>0명(2021년 미개최)</t>
  </si>
  <si>
    <t>(사)울산연극협회</t>
  </si>
  <si>
    <t>사단법인</t>
  </si>
  <si>
    <t>민법 제31조 및 제97조</t>
  </si>
  <si>
    <t>장우리</t>
  </si>
  <si>
    <t>052-229-3752</t>
  </si>
  <si>
    <t>태화강공연축제 나드리</t>
  </si>
  <si>
    <t>문화예술</t>
  </si>
  <si>
    <t>2022. 10.</t>
  </si>
  <si>
    <t>400명</t>
  </si>
  <si>
    <t>울산문화재단</t>
  </si>
  <si>
    <t>재단법인</t>
  </si>
  <si>
    <t>울산광역시 문화재단 설립 및 운영에 관한 조례(2016년)</t>
  </si>
  <si>
    <t>김보창</t>
  </si>
  <si>
    <t>052-229-3751</t>
  </si>
  <si>
    <t>처용문화제</t>
  </si>
  <si>
    <t>태화강둔치</t>
  </si>
  <si>
    <t>외솔한글한마당</t>
  </si>
  <si>
    <t>중구원도심</t>
  </si>
  <si>
    <t>온라인</t>
  </si>
  <si>
    <t>UBC</t>
  </si>
  <si>
    <t>중구</t>
  </si>
  <si>
    <t>2022 울산마두희축제</t>
  </si>
  <si>
    <t>전통역사</t>
  </si>
  <si>
    <t>06.03~06.05.</t>
  </si>
  <si>
    <t>중구 원도심 일원</t>
  </si>
  <si>
    <t>2014년</t>
  </si>
  <si>
    <t>1000명</t>
  </si>
  <si>
    <t>0명</t>
  </si>
  <si>
    <t>울산마두희축제추진위원회</t>
  </si>
  <si>
    <t>비영리단체</t>
  </si>
  <si>
    <t>울산마두희축제추진위원회 정관</t>
  </si>
  <si>
    <t>윤대현</t>
  </si>
  <si>
    <t>052-290-3662</t>
  </si>
  <si>
    <t>눈꽃축제</t>
  </si>
  <si>
    <t>주민화합</t>
  </si>
  <si>
    <t>12.24.~12.25.</t>
  </si>
  <si>
    <t>2006년</t>
  </si>
  <si>
    <t>없음</t>
  </si>
  <si>
    <t>이태근</t>
  </si>
  <si>
    <t>052-290-3324</t>
  </si>
  <si>
    <t>남구</t>
  </si>
  <si>
    <t>궁거랑 벚꽃 한마당</t>
  </si>
  <si>
    <t>문화관광축제</t>
  </si>
  <si>
    <t>2.15.</t>
  </si>
  <si>
    <t>무거생태하천일원</t>
  </si>
  <si>
    <t>5,000명</t>
  </si>
  <si>
    <t>확인불가</t>
  </si>
  <si>
    <t>울산제일일보</t>
  </si>
  <si>
    <t>신문사</t>
  </si>
  <si>
    <t>울산광역시남구 지방보조금 관리 조례</t>
  </si>
  <si>
    <t>이희선</t>
  </si>
  <si>
    <t>052-226-5412</t>
  </si>
  <si>
    <t>제26회 울산고래축제</t>
  </si>
  <si>
    <t>04.28~05.01</t>
  </si>
  <si>
    <t>장생포일원</t>
  </si>
  <si>
    <t>혼합형</t>
  </si>
  <si>
    <t>319,562명</t>
  </si>
  <si>
    <t>고래문화재단</t>
  </si>
  <si>
    <t>울산광역시남구고래문화재단설립및운영지원조례(2011)</t>
  </si>
  <si>
    <t>-</t>
  </si>
  <si>
    <t>박민성</t>
  </si>
  <si>
    <t>052-226-3403</t>
  </si>
  <si>
    <t>장생포 수국 페스티벌</t>
  </si>
  <si>
    <t>6월 중</t>
  </si>
  <si>
    <t>고래문화마을 수국정원</t>
  </si>
  <si>
    <t>신규사업</t>
  </si>
  <si>
    <t>울산UBC</t>
  </si>
  <si>
    <t>언론사</t>
  </si>
  <si>
    <t>이태하</t>
  </si>
  <si>
    <t>052-226-5372</t>
  </si>
  <si>
    <t>울산 남구 문화유적 
생태탐방 교육</t>
  </si>
  <si>
    <t>6월~11월중</t>
  </si>
  <si>
    <t>장생포고래문화특구,
삼호대숲 일원 등</t>
  </si>
  <si>
    <t>2,100명</t>
  </si>
  <si>
    <t>울산신문사</t>
  </si>
  <si>
    <t>김은지</t>
  </si>
  <si>
    <t>052-226-5682</t>
  </si>
  <si>
    <t>장생포 고래문화특구 
런닝맨투어</t>
  </si>
  <si>
    <t>07.16.~07.17.</t>
  </si>
  <si>
    <t>장생포 고래문화특구 일원</t>
  </si>
  <si>
    <t>이애경</t>
  </si>
  <si>
    <t>052-226-3404</t>
  </si>
  <si>
    <t>장생포 한여름 밤의 Horror  Festival</t>
  </si>
  <si>
    <t>8월 중</t>
  </si>
  <si>
    <t>고래문화 마을일원</t>
  </si>
  <si>
    <t>1,743명</t>
  </si>
  <si>
    <t>남구문화예술제</t>
  </si>
  <si>
    <t>9월 중</t>
  </si>
  <si>
    <t>남구문화원 등</t>
  </si>
  <si>
    <t>3,000명</t>
  </si>
  <si>
    <t>문화원</t>
  </si>
  <si>
    <t>지방문화원 진흥법</t>
  </si>
  <si>
    <t>정성연</t>
  </si>
  <si>
    <t>052-226-5413</t>
  </si>
  <si>
    <t>남구강변영화제</t>
  </si>
  <si>
    <t>울산매일신문사</t>
  </si>
  <si>
    <t>태화강 빛 축제</t>
  </si>
  <si>
    <t>10월 중</t>
  </si>
  <si>
    <t>경상일보</t>
  </si>
  <si>
    <t>그린차박페스티벌 in 울산</t>
  </si>
  <si>
    <t>문수국제양궁장</t>
  </si>
  <si>
    <t>243명</t>
  </si>
  <si>
    <t>버드페스티벌</t>
  </si>
  <si>
    <t>11.11.∼11.13</t>
  </si>
  <si>
    <t>태화강남구 철새공원</t>
  </si>
  <si>
    <t>울산mbc</t>
  </si>
  <si>
    <t>김을숙</t>
  </si>
  <si>
    <t>052-226-4902</t>
  </si>
  <si>
    <t>동구</t>
  </si>
  <si>
    <t>제100회 어린이날 기념 
동구 어린이 큰잔치</t>
  </si>
  <si>
    <t>5.4~5.5</t>
  </si>
  <si>
    <t>동구청,어린이집 등</t>
  </si>
  <si>
    <t>미실시</t>
  </si>
  <si>
    <t>류형순</t>
  </si>
  <si>
    <t>052-209-3471</t>
  </si>
  <si>
    <t>2022년 울산조선해양축제</t>
  </si>
  <si>
    <t>7월중</t>
  </si>
  <si>
    <t>일산해수욕장 일원</t>
  </si>
  <si>
    <t>온라인 개막공연
(실시간참여자수1500명/조회수 15,956건)
유튜브 울산 동구 여행다큐(조회수 230,000건)</t>
  </si>
  <si>
    <t>울산조선해양축제추진위원회</t>
  </si>
  <si>
    <t>위원회</t>
  </si>
  <si>
    <t>울산 동구 축제 지원 조례</t>
  </si>
  <si>
    <t>김혜성</t>
  </si>
  <si>
    <t>052-209-3362</t>
  </si>
  <si>
    <t>북구</t>
  </si>
  <si>
    <t>제18회 울산쇠부리축제</t>
  </si>
  <si>
    <t>05.13.~05.15.</t>
  </si>
  <si>
    <t>달천철장</t>
  </si>
  <si>
    <t>2005년</t>
  </si>
  <si>
    <t>비대면</t>
  </si>
  <si>
    <t>울산쇠부리축제 추진위원회</t>
  </si>
  <si>
    <t>울산광역시 북구 울산쇠부리축제 지원에 관한 조례</t>
  </si>
  <si>
    <t>김현기</t>
  </si>
  <si>
    <t>052-241-7333</t>
  </si>
  <si>
    <t>울주군</t>
    <phoneticPr fontId="2" type="noConversion"/>
  </si>
  <si>
    <t>울산옹기축제</t>
    <phoneticPr fontId="2" type="noConversion"/>
  </si>
  <si>
    <t>5월 중</t>
  </si>
  <si>
    <t>외고산옹기마을일대</t>
  </si>
  <si>
    <t>온라인 관람객 48만명</t>
  </si>
  <si>
    <t>울주문화재단</t>
  </si>
  <si>
    <t>「지역문화진흥법 제19조」, 「울산광역시 문화재단 설립 및 운영에 관한 조례」(2016년)</t>
  </si>
  <si>
    <t>문체부</t>
  </si>
  <si>
    <t>이나라</t>
  </si>
  <si>
    <t>052-204-0355</t>
  </si>
  <si>
    <t>여덟 번째 세종축제</t>
    <phoneticPr fontId="2" type="noConversion"/>
  </si>
  <si>
    <t>세종호수공원,중앙공원</t>
    <phoneticPr fontId="2" type="noConversion"/>
  </si>
  <si>
    <t>104,598명</t>
    <phoneticPr fontId="2" type="noConversion"/>
  </si>
  <si>
    <t>54,086명</t>
    <phoneticPr fontId="2" type="noConversion"/>
  </si>
  <si>
    <t>세종시문화재단</t>
    <phoneticPr fontId="2" type="noConversion"/>
  </si>
  <si>
    <t>세종특별자치시 문화재단 설립 및 운영에 관한 조례</t>
    <phoneticPr fontId="2" type="noConversion"/>
  </si>
  <si>
    <t>김혜리</t>
    <phoneticPr fontId="2" type="noConversion"/>
  </si>
  <si>
    <t>044-850-0556</t>
    <phoneticPr fontId="2" type="noConversion"/>
  </si>
  <si>
    <t>제20회 세종조치원복숭아축제</t>
    <phoneticPr fontId="2" type="noConversion"/>
  </si>
  <si>
    <t>특산물</t>
    <phoneticPr fontId="2" type="noConversion"/>
  </si>
  <si>
    <t>8.5.~8.7.</t>
    <phoneticPr fontId="2" type="noConversion"/>
  </si>
  <si>
    <t>도도리파크(예정)</t>
    <phoneticPr fontId="2" type="noConversion"/>
  </si>
  <si>
    <t>21,069명</t>
    <phoneticPr fontId="2" type="noConversion"/>
  </si>
  <si>
    <t>축제추진위원회</t>
    <phoneticPr fontId="2" type="noConversion"/>
  </si>
  <si>
    <t>위원회</t>
    <phoneticPr fontId="2" type="noConversion"/>
  </si>
  <si>
    <t>윤정하</t>
    <phoneticPr fontId="2" type="noConversion"/>
  </si>
  <si>
    <t>044-300-2512</t>
    <phoneticPr fontId="2" type="noConversion"/>
  </si>
  <si>
    <t>제5회 세종건축문화제</t>
    <phoneticPr fontId="2" type="noConversion"/>
  </si>
  <si>
    <t>10.5.~10.10.</t>
    <phoneticPr fontId="2" type="noConversion"/>
  </si>
  <si>
    <t>중앙공원,시청사</t>
    <phoneticPr fontId="2" type="noConversion"/>
  </si>
  <si>
    <t>2,000명</t>
    <phoneticPr fontId="2" type="noConversion"/>
  </si>
  <si>
    <t>건축과</t>
    <phoneticPr fontId="2" type="noConversion"/>
  </si>
  <si>
    <t>김태우</t>
    <phoneticPr fontId="2" type="noConversion"/>
  </si>
  <si>
    <t>044-300-5412</t>
    <phoneticPr fontId="2" type="noConversion"/>
  </si>
  <si>
    <t>제10회 김종서장군문화제</t>
    <phoneticPr fontId="2" type="noConversion"/>
  </si>
  <si>
    <t>김종서장군묘역(장군면)</t>
    <phoneticPr fontId="2" type="noConversion"/>
  </si>
  <si>
    <t>100명(축소개최)</t>
    <phoneticPr fontId="2" type="noConversion"/>
  </si>
  <si>
    <t>한새하</t>
    <phoneticPr fontId="2" type="noConversion"/>
  </si>
  <si>
    <t>044-301-5612</t>
    <phoneticPr fontId="2" type="noConversion"/>
  </si>
  <si>
    <t>시자체</t>
    <phoneticPr fontId="2" type="noConversion"/>
  </si>
  <si>
    <t>제35회 해운대북극곰축제</t>
    <phoneticPr fontId="2" type="noConversion"/>
  </si>
  <si>
    <t>2월 말</t>
    <phoneticPr fontId="2" type="noConversion"/>
  </si>
  <si>
    <t>해운대
해수욕장</t>
    <phoneticPr fontId="2" type="noConversion"/>
  </si>
  <si>
    <t>부산일보사</t>
    <phoneticPr fontId="2" type="noConversion"/>
  </si>
  <si>
    <t>노자경</t>
    <phoneticPr fontId="2" type="noConversion"/>
  </si>
  <si>
    <t>051-888-5221</t>
    <phoneticPr fontId="2" type="noConversion"/>
  </si>
  <si>
    <t>해운대구</t>
  </si>
  <si>
    <t>제38회 해운대 달맞이온천축제</t>
  </si>
  <si>
    <t>전통역사, 주민화합</t>
  </si>
  <si>
    <t>미정</t>
  </si>
  <si>
    <t xml:space="preserve">해운대해수욕장 일원 </t>
  </si>
  <si>
    <t>미정</t>
    <phoneticPr fontId="2" type="noConversion"/>
  </si>
  <si>
    <t>코로나19
개최취소</t>
    <phoneticPr fontId="2" type="noConversion"/>
  </si>
  <si>
    <t>해운대구발전
협의회</t>
    <phoneticPr fontId="2" type="noConversion"/>
  </si>
  <si>
    <t>유주은</t>
  </si>
  <si>
    <t>051-749-4064</t>
  </si>
  <si>
    <t>강서구</t>
  </si>
  <si>
    <t>제6회 강서 낙동강변
30리 벚꽃축제</t>
  </si>
  <si>
    <t>생태자연</t>
  </si>
  <si>
    <t>3월말 예정
(3일간)</t>
  </si>
  <si>
    <t>대저생태공원</t>
  </si>
  <si>
    <t>·대면</t>
  </si>
  <si>
    <t>강서구축제
추진위원회</t>
    <phoneticPr fontId="2" type="noConversion"/>
  </si>
  <si>
    <t>축제추진위</t>
  </si>
  <si>
    <t>부산광역시 강서구 축제 지원 조례</t>
  </si>
  <si>
    <t>진은희</t>
  </si>
  <si>
    <t>051-970-4062</t>
  </si>
  <si>
    <t>사상구</t>
  </si>
  <si>
    <t>제19회 사상강변축제</t>
  </si>
  <si>
    <t>10월 중</t>
    <phoneticPr fontId="2" type="noConversion"/>
  </si>
  <si>
    <t>삼락생태공원</t>
  </si>
  <si>
    <t>사상문화원</t>
  </si>
  <si>
    <t>부산광역시 사상구 사상문화원 지원 조례
(2015.10.22.)</t>
    <phoneticPr fontId="2" type="noConversion"/>
  </si>
  <si>
    <t>송성원</t>
  </si>
  <si>
    <t>051-310-4062</t>
  </si>
  <si>
    <t>제20회 대저토마토축제</t>
  </si>
  <si>
    <t>지역특산물(대저토마토)</t>
  </si>
  <si>
    <t>4월초 예정
(2일간)</t>
  </si>
  <si>
    <t>강서체육공원</t>
  </si>
  <si>
    <t>대저토마토축제
추진위원회</t>
  </si>
  <si>
    <t>전미숙</t>
  </si>
  <si>
    <t>051-970-4812</t>
  </si>
  <si>
    <t>제10회 낙동강유채꽃축제</t>
    <phoneticPr fontId="2" type="noConversion"/>
  </si>
  <si>
    <t>대저생태공원</t>
    <phoneticPr fontId="2" type="noConversion"/>
  </si>
  <si>
    <t>온라인(비대면) 개최</t>
  </si>
  <si>
    <t>(사)부산문화관광
축제조직위원회</t>
    <phoneticPr fontId="2" type="noConversion"/>
  </si>
  <si>
    <t>추진위원회</t>
    <phoneticPr fontId="2" type="noConversion"/>
  </si>
  <si>
    <t xml:space="preserve">「문화체육관광부 및 문화재청 소관 비영리법인의 설립 및 감독에 관한 규칙」제4조
 </t>
    <phoneticPr fontId="2" type="noConversion"/>
  </si>
  <si>
    <t>기장군</t>
  </si>
  <si>
    <t>기장미역다시마축제</t>
  </si>
  <si>
    <t>특산물</t>
  </si>
  <si>
    <t>4월 중
(3일간)</t>
    <phoneticPr fontId="2" type="noConversion"/>
  </si>
  <si>
    <t>이동항</t>
  </si>
  <si>
    <t>기장미역다시마
축제조직위</t>
  </si>
  <si>
    <t>추진위원회</t>
  </si>
  <si>
    <t>부산광역시 기장군 축제 운영 및 지원에 관한 조례</t>
  </si>
  <si>
    <t>이성주</t>
  </si>
  <si>
    <t>051-709-4612</t>
    <phoneticPr fontId="2" type="noConversion"/>
  </si>
  <si>
    <t>기장멸치축제</t>
  </si>
  <si>
    <t>대변항</t>
  </si>
  <si>
    <t>기장명치
축제조직위</t>
  </si>
  <si>
    <t>홍승균</t>
  </si>
  <si>
    <t>051-709-4502</t>
    <phoneticPr fontId="2" type="noConversion"/>
  </si>
  <si>
    <t>광복로 연등문화제</t>
  </si>
  <si>
    <t>04.20.~05.09.</t>
  </si>
  <si>
    <t>광복로 일원</t>
  </si>
  <si>
    <t>부산광역시 
중구불교연합회</t>
    <phoneticPr fontId="2" type="noConversion"/>
  </si>
  <si>
    <t>송소정</t>
    <phoneticPr fontId="2" type="noConversion"/>
  </si>
  <si>
    <t>051-600-4085</t>
    <phoneticPr fontId="2" type="noConversion"/>
  </si>
  <si>
    <t>조선통신사축제</t>
  </si>
  <si>
    <t>05.05.~05.08.</t>
  </si>
  <si>
    <t>용두산공원, 광복로 일원 등</t>
    <phoneticPr fontId="2" type="noConversion"/>
  </si>
  <si>
    <t>부산문화재단</t>
  </si>
  <si>
    <t>부산문화재단 설립 및 운영 지원 조례</t>
    <phoneticPr fontId="2" type="noConversion"/>
  </si>
  <si>
    <t>원도심골목길축제</t>
    <phoneticPr fontId="2" type="noConversion"/>
  </si>
  <si>
    <t>원도심 4개구 일원</t>
    <phoneticPr fontId="2" type="noConversion"/>
  </si>
  <si>
    <t>사하구</t>
  </si>
  <si>
    <t>제11회 하단포구웅어축제</t>
  </si>
  <si>
    <t>5월 중 3일</t>
  </si>
  <si>
    <t>하단항 일원</t>
  </si>
  <si>
    <t xml:space="preserve"> 부산시수협 하단어촌계 </t>
  </si>
  <si>
    <t>이승롱</t>
  </si>
  <si>
    <t>051-220-4501</t>
  </si>
  <si>
    <t>제9회 낙동강 구포나루 축제</t>
    <phoneticPr fontId="2" type="noConversion"/>
  </si>
  <si>
    <t>5.13.~5.15.</t>
    <phoneticPr fontId="2" type="noConversion"/>
  </si>
  <si>
    <t>화명생태공원</t>
  </si>
  <si>
    <t>(사)부산북구문화관광
축제조직위원회</t>
    <phoneticPr fontId="2" type="noConversion"/>
  </si>
  <si>
    <t>문화예술진흥법 제7조</t>
  </si>
  <si>
    <t>박준호</t>
  </si>
  <si>
    <t>051-309-4522</t>
  </si>
  <si>
    <t>금정구</t>
  </si>
  <si>
    <t>2022 금정문화축제</t>
  </si>
  <si>
    <t>개최일정 미정
(6월 또는 하반기(2일))</t>
  </si>
  <si>
    <t>온천천 등</t>
  </si>
  <si>
    <t>금정구
금정문화재단</t>
  </si>
  <si>
    <t>금정구 금정문화재단 설립 및 운영에 관한 조례(2020)</t>
  </si>
  <si>
    <t>김충남</t>
  </si>
  <si>
    <t>051-519-4062</t>
  </si>
  <si>
    <t>2022 해운대모래축제</t>
  </si>
  <si>
    <t>5월경</t>
  </si>
  <si>
    <t>백쌍호</t>
  </si>
  <si>
    <t>051-749-4061</t>
  </si>
  <si>
    <t>제15회 부산항축제</t>
  </si>
  <si>
    <t>5.28.~5.29.</t>
  </si>
  <si>
    <t>부산항북항</t>
  </si>
  <si>
    <t>부산문화관광
축제조직위</t>
    <phoneticPr fontId="2" type="noConversion"/>
  </si>
  <si>
    <t xml:space="preserve">부산광역시 축제의 육성 및 지원에 관한 조례 </t>
  </si>
  <si>
    <t>해수부</t>
  </si>
  <si>
    <t>손평모</t>
  </si>
  <si>
    <t>051-888-5352</t>
  </si>
  <si>
    <t>일광낭만가요제</t>
  </si>
  <si>
    <t>기타(주민화합)</t>
  </si>
  <si>
    <t>6~7월중
(3일간)</t>
  </si>
  <si>
    <t>일광
해수욕장</t>
  </si>
  <si>
    <t>일광낭만가요제
추진위원회</t>
    <phoneticPr fontId="2" type="noConversion"/>
  </si>
  <si>
    <t>안준길</t>
  </si>
  <si>
    <t>051-709-4065</t>
    <phoneticPr fontId="2" type="noConversion"/>
  </si>
  <si>
    <t>영도구</t>
  </si>
  <si>
    <t>수국꽃 문화축제</t>
  </si>
  <si>
    <t>6.25.~7.3</t>
  </si>
  <si>
    <t>태종사경내</t>
  </si>
  <si>
    <t>수국축제
추진위원회</t>
  </si>
  <si>
    <t>비영리법인</t>
  </si>
  <si>
    <t>신연진</t>
  </si>
  <si>
    <t>051-419-4064</t>
  </si>
  <si>
    <t>제22회 부산국제록페스티벌</t>
    <phoneticPr fontId="2" type="noConversion"/>
  </si>
  <si>
    <t>삼락생태공원</t>
    <phoneticPr fontId="2" type="noConversion"/>
  </si>
  <si>
    <t>제16회 부산국제매직페스티벌</t>
  </si>
  <si>
    <t>8월 중</t>
    <phoneticPr fontId="2" type="noConversion"/>
  </si>
  <si>
    <t>미산정</t>
    <phoneticPr fontId="2" type="noConversion"/>
  </si>
  <si>
    <t>부산국제매직페스티벌조직위원회</t>
  </si>
  <si>
    <t>축제조직위</t>
  </si>
  <si>
    <t>전정희</t>
  </si>
  <si>
    <t>제26회 부산바다축제</t>
    <phoneticPr fontId="2" type="noConversion"/>
  </si>
  <si>
    <t>부산시 일원</t>
    <phoneticPr fontId="2" type="noConversion"/>
  </si>
  <si>
    <t>이연경</t>
    <phoneticPr fontId="2" type="noConversion"/>
  </si>
  <si>
    <t>051-888-5222</t>
    <phoneticPr fontId="2" type="noConversion"/>
  </si>
  <si>
    <t>기장갯마을축제</t>
  </si>
  <si>
    <t>8월 중
(3일간)</t>
    <phoneticPr fontId="2" type="noConversion"/>
  </si>
  <si>
    <t>기장갯마을
축제조직
위원회</t>
  </si>
  <si>
    <t>제20회 
명지시장전어축제</t>
  </si>
  <si>
    <t>지역특산물(전어)</t>
  </si>
  <si>
    <t>8월 말 예정
(3일간)</t>
  </si>
  <si>
    <t>명지시장
일원</t>
  </si>
  <si>
    <t>명지시장전어
축제위원회</t>
    <phoneticPr fontId="2" type="noConversion"/>
  </si>
  <si>
    <t>부산광역시 강서구 축제 운영 및 지원에 관한 조례</t>
    <phoneticPr fontId="2" type="noConversion"/>
  </si>
  <si>
    <t>윤선희</t>
  </si>
  <si>
    <t>051-970-4475</t>
  </si>
  <si>
    <t>해운대 해양레저축제</t>
  </si>
  <si>
    <t>9월 중</t>
    <phoneticPr fontId="2" type="noConversion"/>
  </si>
  <si>
    <t>송정해수욕장 일원</t>
  </si>
  <si>
    <t>부산진구</t>
  </si>
  <si>
    <t>우리문화체험축제</t>
  </si>
  <si>
    <t>부산시민공원 일원</t>
  </si>
  <si>
    <t>2007
(격년제)</t>
    <phoneticPr fontId="2" type="noConversion"/>
  </si>
  <si>
    <t>이혜영</t>
  </si>
  <si>
    <t>051-605-4062</t>
  </si>
  <si>
    <t>제6회 라라라페스티벌</t>
  </si>
  <si>
    <t>10월(3일간)</t>
  </si>
  <si>
    <t>온천천</t>
  </si>
  <si>
    <t>민소연</t>
  </si>
  <si>
    <t>051-519-4422</t>
  </si>
  <si>
    <t>정관생태하천학습문화축제</t>
  </si>
  <si>
    <t>10월 중
(2일간)</t>
  </si>
  <si>
    <t>좌광천
일원</t>
  </si>
  <si>
    <t>정관생태하천
학습
문화축제추진위원회</t>
    <phoneticPr fontId="2" type="noConversion"/>
  </si>
  <si>
    <t>연경미</t>
  </si>
  <si>
    <t>051-709-4332</t>
    <phoneticPr fontId="2" type="noConversion"/>
  </si>
  <si>
    <t>철마한우불고기축제</t>
  </si>
  <si>
    <t>10월 중
(4일간)</t>
    <phoneticPr fontId="2" type="noConversion"/>
  </si>
  <si>
    <t>철마면</t>
  </si>
  <si>
    <t>철마한우불고기
축제추진위원회</t>
    <phoneticPr fontId="2" type="noConversion"/>
  </si>
  <si>
    <t>변재국</t>
  </si>
  <si>
    <t>051-709-2894</t>
    <phoneticPr fontId="2" type="noConversion"/>
  </si>
  <si>
    <t>제24회 UN평화축제</t>
  </si>
  <si>
    <t>기타(주민화홥)</t>
  </si>
  <si>
    <t>10월 중(2일)</t>
  </si>
  <si>
    <t>평화공원</t>
  </si>
  <si>
    <t>황진복</t>
  </si>
  <si>
    <t>051-607-4062</t>
  </si>
  <si>
    <t>차성문화제</t>
  </si>
  <si>
    <t>10월 중
(3일간)</t>
    <phoneticPr fontId="2" type="noConversion"/>
  </si>
  <si>
    <t>기장읍
일원</t>
  </si>
  <si>
    <t>차성문화제
추진위원회</t>
  </si>
  <si>
    <t>부산광역시 기장군 차성문화제 조례</t>
  </si>
  <si>
    <t>황지선</t>
  </si>
  <si>
    <t>051-709-4062</t>
    <phoneticPr fontId="2" type="noConversion"/>
  </si>
  <si>
    <t>제11회 서면메디컬스트리트 축제</t>
  </si>
  <si>
    <t>서면메디컬스트리트 일원</t>
  </si>
  <si>
    <t>12,000명</t>
  </si>
  <si>
    <t>1,000명</t>
  </si>
  <si>
    <t>(사)서면메디컬스트리트
의료관광협의회</t>
    <phoneticPr fontId="2" type="noConversion"/>
  </si>
  <si>
    <t>문화체육관광부 및 문화재청 소관 비영리법인의 설립 및 감독에 관한 규칙</t>
  </si>
  <si>
    <t>이미진</t>
  </si>
  <si>
    <t>051-605-6022</t>
  </si>
  <si>
    <t>제6회 전포커피축제</t>
  </si>
  <si>
    <t>전포카페거리 일원</t>
  </si>
  <si>
    <t>80
(추경편성예정)</t>
    <phoneticPr fontId="2" type="noConversion"/>
  </si>
  <si>
    <t>200명</t>
  </si>
  <si>
    <t>현은정</t>
  </si>
  <si>
    <t>051-605-4524</t>
  </si>
  <si>
    <t>수영구</t>
  </si>
  <si>
    <t>제20회 광안리어방축제</t>
  </si>
  <si>
    <t>10월 중(3일간)</t>
    <phoneticPr fontId="2" type="noConversion"/>
  </si>
  <si>
    <t>광안리해수욕장</t>
  </si>
  <si>
    <t>수영구 축제위원회</t>
    <phoneticPr fontId="2" type="noConversion"/>
  </si>
  <si>
    <t>부산시 수영구 축제육성 및 운영 지원에 관한 조례</t>
  </si>
  <si>
    <t>백승진</t>
  </si>
  <si>
    <t>051-610-4062</t>
  </si>
  <si>
    <t>기장붕장어축제</t>
  </si>
  <si>
    <t>9, 10월 중
(2일간)</t>
    <phoneticPr fontId="2" type="noConversion"/>
  </si>
  <si>
    <t>칠암항</t>
  </si>
  <si>
    <t>기장붕장어
축제조직위</t>
  </si>
  <si>
    <t>허민정</t>
  </si>
  <si>
    <t>051-709-4522</t>
    <phoneticPr fontId="2" type="noConversion"/>
  </si>
  <si>
    <t>제29회 부산자갈치축제</t>
  </si>
  <si>
    <t>지역특산물</t>
  </si>
  <si>
    <t>10.13.~10.16.</t>
  </si>
  <si>
    <t>자갈치시장 일원 등</t>
  </si>
  <si>
    <t>부산자갈치문화관광
축제위원회</t>
    <phoneticPr fontId="2" type="noConversion"/>
  </si>
  <si>
    <t>부산광역시 중구 축제 운영 및 지원에 관한 조례</t>
    <phoneticPr fontId="2" type="noConversion"/>
  </si>
  <si>
    <t>동래구</t>
  </si>
  <si>
    <t>제28회 동래읍성역사축제</t>
  </si>
  <si>
    <t>10.14.~10.16.</t>
  </si>
  <si>
    <t>동래읍성(북문), 
동래문화회관 등</t>
  </si>
  <si>
    <t>혼합형
(검토 중)</t>
  </si>
  <si>
    <t>동래문화원</t>
  </si>
  <si>
    <t>지방문화원진흥법 제4조 제1항</t>
  </si>
  <si>
    <t>구병문</t>
  </si>
  <si>
    <t>051-550-4092</t>
  </si>
  <si>
    <t>제30회 영도다리축제</t>
  </si>
  <si>
    <t>10.14~10.16</t>
  </si>
  <si>
    <t>아미르공원</t>
  </si>
  <si>
    <t>미산정</t>
  </si>
  <si>
    <t>영도문화원</t>
  </si>
  <si>
    <t>부산광역시 영도구 영도문화원 지원 조례</t>
  </si>
  <si>
    <t>영도커피페스티벌</t>
  </si>
  <si>
    <t>김애란</t>
  </si>
  <si>
    <t>051-419-4472</t>
  </si>
  <si>
    <t>제19회 차이나타운특구 문화축제</t>
  </si>
  <si>
    <t>10.14.~10.16</t>
  </si>
  <si>
    <t>부산 차이나타운 일대</t>
  </si>
  <si>
    <t xml:space="preserve">비대면 개최
(전시위주)
 </t>
    <phoneticPr fontId="2" type="noConversion"/>
  </si>
  <si>
    <t>차이나축제
추진위원회</t>
    <phoneticPr fontId="2" type="noConversion"/>
  </si>
  <si>
    <t>부산광역시 동구 축제운영에 관한 조례</t>
  </si>
  <si>
    <t>장은해</t>
  </si>
  <si>
    <t>051-440-4062</t>
  </si>
  <si>
    <t>연제구</t>
  </si>
  <si>
    <t>제3회 연제고분판타지축제</t>
  </si>
  <si>
    <t>3.25.~3.27.</t>
  </si>
  <si>
    <t>온천천,연산동고분군</t>
  </si>
  <si>
    <t>연제구 축제 
추진위원회</t>
    <phoneticPr fontId="2" type="noConversion"/>
  </si>
  <si>
    <t>부산광역시 연제구 축제추진위원회 육성 및 지원조례(2015년)</t>
    <phoneticPr fontId="2" type="noConversion"/>
  </si>
  <si>
    <t>강철민</t>
  </si>
  <si>
    <t>051-665-4062</t>
  </si>
  <si>
    <t>사하구</t>
    <phoneticPr fontId="2" type="noConversion"/>
  </si>
  <si>
    <t>제8회 다대포어항문화축제</t>
    <phoneticPr fontId="2" type="noConversion"/>
  </si>
  <si>
    <t>10월 중 2일</t>
    <phoneticPr fontId="2" type="noConversion"/>
  </si>
  <si>
    <t>다대포항 일원</t>
    <phoneticPr fontId="2" type="noConversion"/>
  </si>
  <si>
    <t>부산시수협 다대어촌계</t>
    <phoneticPr fontId="14" type="noConversion"/>
  </si>
  <si>
    <t>이승롱</t>
    <phoneticPr fontId="2" type="noConversion"/>
  </si>
  <si>
    <t>051-220-4501</t>
    <phoneticPr fontId="2" type="noConversion"/>
  </si>
  <si>
    <t>제17회 보수동책방골목문화축제</t>
    <phoneticPr fontId="2" type="noConversion"/>
  </si>
  <si>
    <t>보수동책방골목 일원</t>
    <phoneticPr fontId="2" type="noConversion"/>
  </si>
  <si>
    <t>보수동책방
골목번영회</t>
    <phoneticPr fontId="2" type="noConversion"/>
  </si>
  <si>
    <t>이주현</t>
    <phoneticPr fontId="2" type="noConversion"/>
  </si>
  <si>
    <t>051-600-6377</t>
    <phoneticPr fontId="2" type="noConversion"/>
  </si>
  <si>
    <t>서구</t>
  </si>
  <si>
    <t>제13회 부산고등어축제</t>
  </si>
  <si>
    <t>10.21.~10.23.</t>
  </si>
  <si>
    <t>송도해수욕장</t>
  </si>
  <si>
    <t>부산서구문화원</t>
  </si>
  <si>
    <t>부산광역시 문화원 지원 및 육성에 관한 조례</t>
  </si>
  <si>
    <t>김희라</t>
  </si>
  <si>
    <t>051-240-4062</t>
  </si>
  <si>
    <t>제6회 부산어묵축제</t>
    <phoneticPr fontId="2" type="noConversion"/>
  </si>
  <si>
    <t>다대포 해변공원 일원</t>
    <phoneticPr fontId="2" type="noConversion"/>
  </si>
  <si>
    <t>부산어육제품
공업협동조합</t>
    <phoneticPr fontId="2" type="noConversion"/>
  </si>
  <si>
    <t>협동조합</t>
    <phoneticPr fontId="2" type="noConversion"/>
  </si>
  <si>
    <t>중소기업협동조합법</t>
    <phoneticPr fontId="2" type="noConversion"/>
  </si>
  <si>
    <t>박도영</t>
    <phoneticPr fontId="2" type="noConversion"/>
  </si>
  <si>
    <t>051-220-4492</t>
    <phoneticPr fontId="2" type="noConversion"/>
  </si>
  <si>
    <t>제12회 감천문화마을 골목축제</t>
    <phoneticPr fontId="2" type="noConversion"/>
  </si>
  <si>
    <t xml:space="preserve">10.~11. 중 </t>
    <phoneticPr fontId="2" type="noConversion"/>
  </si>
  <si>
    <t>감천문화마을 일원</t>
    <phoneticPr fontId="2" type="noConversion"/>
  </si>
  <si>
    <t>감천문화마을
주민협의회</t>
    <phoneticPr fontId="2" type="noConversion"/>
  </si>
  <si>
    <t>부산광역시 사하구 감천문화마을 조성 및 
운영 지원 등에 관한 조례</t>
    <phoneticPr fontId="2" type="noConversion"/>
  </si>
  <si>
    <t>이성호</t>
    <phoneticPr fontId="2" type="noConversion"/>
  </si>
  <si>
    <t>051-220-5925</t>
    <phoneticPr fontId="2" type="noConversion"/>
  </si>
  <si>
    <t>수영구</t>
    <phoneticPr fontId="2" type="noConversion"/>
  </si>
  <si>
    <t>부산불꽃축제</t>
    <phoneticPr fontId="2" type="noConversion"/>
  </si>
  <si>
    <t>11월 중</t>
    <phoneticPr fontId="2" type="noConversion"/>
  </si>
  <si>
    <t>광안리해수욕장</t>
    <phoneticPr fontId="2" type="noConversion"/>
  </si>
  <si>
    <t>무관중 개최</t>
    <phoneticPr fontId="2" type="noConversion"/>
  </si>
  <si>
    <t>제14회 부산크리스마스트리문화축제</t>
  </si>
  <si>
    <t>11월 ~ 익년 1월</t>
  </si>
  <si>
    <t>광복로 등</t>
  </si>
  <si>
    <t>부산기독교
총연합회</t>
    <phoneticPr fontId="2" type="noConversion"/>
  </si>
  <si>
    <t>제9회 해운대 빛축제</t>
  </si>
  <si>
    <t>11월경</t>
  </si>
  <si>
    <t>1,570,896명</t>
    <phoneticPr fontId="2" type="noConversion"/>
  </si>
  <si>
    <t>가덕도대구축제</t>
  </si>
  <si>
    <t>지역특산물(가덕도대구)</t>
  </si>
  <si>
    <t>12월 중순 예정
(2일간)</t>
  </si>
  <si>
    <t>대항항</t>
  </si>
  <si>
    <t>가덕도대구
축제위원회</t>
    <phoneticPr fontId="2" type="noConversion"/>
  </si>
  <si>
    <t>임의단체</t>
  </si>
  <si>
    <t>옥현진</t>
  </si>
  <si>
    <t>051-970-4504</t>
  </si>
  <si>
    <t>제23회 해운대달맞이언덕인문학축제</t>
    <phoneticPr fontId="2" type="noConversion"/>
  </si>
  <si>
    <t>달맞이언덕 일원</t>
  </si>
  <si>
    <t>약250명</t>
  </si>
  <si>
    <t>해운대포럼</t>
  </si>
  <si>
    <t>민간단체</t>
  </si>
  <si>
    <t>2023 카운트다운&amp;해맞이 축제</t>
  </si>
  <si>
    <t>22.12.31.~23.1.1.</t>
    <phoneticPr fontId="2" type="noConversion"/>
  </si>
  <si>
    <t>2022년 인천펜타포트 음악축제</t>
    <phoneticPr fontId="2" type="noConversion"/>
  </si>
  <si>
    <t>8월중</t>
    <phoneticPr fontId="2" type="noConversion"/>
  </si>
  <si>
    <t>송도일원</t>
    <phoneticPr fontId="2" type="noConversion"/>
  </si>
  <si>
    <t>비대면</t>
    <phoneticPr fontId="2" type="noConversion"/>
  </si>
  <si>
    <t>인천관광공사</t>
    <phoneticPr fontId="2" type="noConversion"/>
  </si>
  <si>
    <t>공공</t>
    <phoneticPr fontId="2" type="noConversion"/>
  </si>
  <si>
    <t>한경아</t>
    <phoneticPr fontId="2" type="noConversion"/>
  </si>
  <si>
    <t>032-440-40187</t>
    <phoneticPr fontId="2" type="noConversion"/>
  </si>
  <si>
    <t>인천</t>
  </si>
  <si>
    <t>제5회 지역특화 관광축제
(동인천낭만시장, 미추홀윈터마켓)</t>
    <phoneticPr fontId="2" type="noConversion"/>
  </si>
  <si>
    <t>10월, 12월
(각 2일간)</t>
    <phoneticPr fontId="2" type="noConversion"/>
  </si>
  <si>
    <t>동인천역 광장
주안역   광장</t>
    <phoneticPr fontId="2" type="noConversion"/>
  </si>
  <si>
    <t>2018년</t>
  </si>
  <si>
    <t>진행중</t>
  </si>
  <si>
    <t>제6회 주섬주섬음악회</t>
  </si>
  <si>
    <t>7월중</t>
    <phoneticPr fontId="2" type="noConversion"/>
  </si>
  <si>
    <t>덕적도 서포리해변</t>
    <phoneticPr fontId="2" type="noConversion"/>
  </si>
  <si>
    <t>2016년</t>
  </si>
  <si>
    <t>19,697
(온라인)</t>
  </si>
  <si>
    <t>송도대표축제</t>
  </si>
  <si>
    <t>10월중(2일간)</t>
    <phoneticPr fontId="2" type="noConversion"/>
  </si>
  <si>
    <t>센트럴파크</t>
  </si>
  <si>
    <t>이미선</t>
  </si>
  <si>
    <t>032-453-7092</t>
  </si>
  <si>
    <t>청라대표축제</t>
  </si>
  <si>
    <t>9월중(2일간)</t>
    <phoneticPr fontId="2" type="noConversion"/>
  </si>
  <si>
    <t>청라호수공원</t>
    <phoneticPr fontId="2" type="noConversion"/>
  </si>
  <si>
    <t>영종대표축제</t>
  </si>
  <si>
    <t>씨사이드파크</t>
    <phoneticPr fontId="2" type="noConversion"/>
  </si>
  <si>
    <t>영종k-pop행사</t>
  </si>
  <si>
    <t>11월중</t>
  </si>
  <si>
    <t>영종</t>
  </si>
  <si>
    <t>강화군</t>
  </si>
  <si>
    <t>제13회 고려산진달래축제</t>
    <phoneticPr fontId="2" type="noConversion"/>
  </si>
  <si>
    <t>4월중(9일간)</t>
    <phoneticPr fontId="2" type="noConversion"/>
  </si>
  <si>
    <t>고려산</t>
    <phoneticPr fontId="2" type="noConversion"/>
  </si>
  <si>
    <t>대면
(2021년
축제
미개최)</t>
    <phoneticPr fontId="2" type="noConversion"/>
  </si>
  <si>
    <t>강화군 문화관광과
/강화군문화축제추진위원회</t>
    <phoneticPr fontId="2" type="noConversion"/>
  </si>
  <si>
    <t>강화군 축제 지원 및 운영 조례</t>
    <phoneticPr fontId="2" type="noConversion"/>
  </si>
  <si>
    <t>이예지</t>
    <phoneticPr fontId="2" type="noConversion"/>
  </si>
  <si>
    <t>032-930-3625</t>
    <phoneticPr fontId="2" type="noConversion"/>
  </si>
  <si>
    <t>제21회 삼랑성역사문화축제</t>
    <phoneticPr fontId="2" type="noConversion"/>
  </si>
  <si>
    <t>10월중(9일간)</t>
    <phoneticPr fontId="2" type="noConversion"/>
  </si>
  <si>
    <t>전등사</t>
    <phoneticPr fontId="2" type="noConversion"/>
  </si>
  <si>
    <t>혼합형
(2021년
온라인
개최)</t>
    <phoneticPr fontId="2" type="noConversion"/>
  </si>
  <si>
    <t>7,300명
(온라인 조회수
기준)</t>
    <phoneticPr fontId="2" type="noConversion"/>
  </si>
  <si>
    <t>삼랑성역사문화축제조직위원회</t>
    <phoneticPr fontId="2" type="noConversion"/>
  </si>
  <si>
    <t>박석암</t>
    <phoneticPr fontId="2" type="noConversion"/>
  </si>
  <si>
    <t>032-937-0125</t>
    <phoneticPr fontId="2" type="noConversion"/>
  </si>
  <si>
    <t>미추홀구</t>
  </si>
  <si>
    <t>제19회 주안미디어문화축제</t>
  </si>
  <si>
    <t>9.16.~9.18.</t>
  </si>
  <si>
    <t>인천 미추홀구
 옛 시민회관 쉼터</t>
    <phoneticPr fontId="2" type="noConversion"/>
  </si>
  <si>
    <t>ㅡ</t>
  </si>
  <si>
    <t>51,591건
(온라인 참여 
포함)</t>
  </si>
  <si>
    <t>인천광역시
 미추홀구
 축제추진위원회</t>
    <phoneticPr fontId="2" type="noConversion"/>
  </si>
  <si>
    <t>비상설</t>
  </si>
  <si>
    <t>인천광역시미추홀구 문화예술진흥조례</t>
  </si>
  <si>
    <t>조봄</t>
  </si>
  <si>
    <t>032-880-7978</t>
  </si>
  <si>
    <t>연수구</t>
  </si>
  <si>
    <t>송도불꽃축제</t>
  </si>
  <si>
    <t>5월 혹은 8월중</t>
    <phoneticPr fontId="2" type="noConversion"/>
  </si>
  <si>
    <t>송도달빛축제공원</t>
  </si>
  <si>
    <t>연수문화재단</t>
    <phoneticPr fontId="2" type="noConversion"/>
  </si>
  <si>
    <t>「인천광역시 연수구 지역문화진흥 조례」 (2019)</t>
  </si>
  <si>
    <t>정효민</t>
  </si>
  <si>
    <t>070-4169-6458</t>
  </si>
  <si>
    <t>제2회 연수℃· FESTA(연수씨페스타)</t>
  </si>
  <si>
    <t>연수구 일대</t>
  </si>
  <si>
    <t>정구섭</t>
  </si>
  <si>
    <t>070-4769-6469</t>
  </si>
  <si>
    <t>제33회 화도진축제</t>
  </si>
  <si>
    <t>5월 중(2일간)</t>
  </si>
  <si>
    <t>동인천역북광장, 
화도진공원</t>
    <phoneticPr fontId="2" type="noConversion"/>
  </si>
  <si>
    <t>미개최
(2021년)</t>
  </si>
  <si>
    <t>한창수</t>
  </si>
  <si>
    <t>032-770-6923</t>
  </si>
  <si>
    <t>제27회 서곶예술제</t>
    <phoneticPr fontId="2" type="noConversion"/>
  </si>
  <si>
    <t>10.24.~10.30.</t>
  </si>
  <si>
    <t>정서진광장, 서구문화회관 등 인천 서구 곳곳</t>
    <phoneticPr fontId="2" type="noConversion"/>
  </si>
  <si>
    <t>인천서구문화재단</t>
    <phoneticPr fontId="2" type="noConversion"/>
  </si>
  <si>
    <t>인천서구문화재단 설립에 관한 조례(2017년)</t>
  </si>
  <si>
    <t xml:space="preserve">박도연 </t>
  </si>
  <si>
    <t>032-579-1150</t>
  </si>
  <si>
    <t>크리스마스 트리축제</t>
  </si>
  <si>
    <t>12월~1월
(약2달간)</t>
    <phoneticPr fontId="2" type="noConversion"/>
  </si>
  <si>
    <t>신포 문화의 거리</t>
  </si>
  <si>
    <t>인천중구문화재단</t>
  </si>
  <si>
    <t>공기관 위탁대행</t>
  </si>
  <si>
    <t>남동구</t>
  </si>
  <si>
    <t>제22회 소래포구축제</t>
  </si>
  <si>
    <t>9~10월중 3일간</t>
  </si>
  <si>
    <t>소래포구 해오름광장</t>
    <phoneticPr fontId="2" type="noConversion"/>
  </si>
  <si>
    <t>2001년</t>
  </si>
  <si>
    <t>400,000명</t>
  </si>
  <si>
    <t>남동문화재단</t>
  </si>
  <si>
    <t>남동구 지역문화 진흥 조례(2021년)</t>
  </si>
  <si>
    <t>조우상</t>
  </si>
  <si>
    <t>032-453-2142</t>
  </si>
  <si>
    <t>부평구</t>
  </si>
  <si>
    <t>부평풍물대축제</t>
  </si>
  <si>
    <t>9.30.~10.2.</t>
  </si>
  <si>
    <t>부평일대</t>
  </si>
  <si>
    <t>1997년</t>
  </si>
  <si>
    <t>축제위원회</t>
    <phoneticPr fontId="2" type="noConversion"/>
  </si>
  <si>
    <t>인천광역시 부평구 축제위원회 설치 및 운영 조례</t>
    <phoneticPr fontId="2" type="noConversion"/>
  </si>
  <si>
    <t>이상규</t>
  </si>
  <si>
    <t>032-509-6425</t>
  </si>
  <si>
    <t>전주시</t>
    <phoneticPr fontId="2" type="noConversion"/>
  </si>
  <si>
    <t>제23회 전주국제영화제</t>
    <phoneticPr fontId="2" type="noConversion"/>
  </si>
  <si>
    <t>4.28~5.7</t>
    <phoneticPr fontId="2" type="noConversion"/>
  </si>
  <si>
    <t>영화의거리일원</t>
    <phoneticPr fontId="2" type="noConversion"/>
  </si>
  <si>
    <t>(재)전주국제영화제조직위원회</t>
    <phoneticPr fontId="2" type="noConversion"/>
  </si>
  <si>
    <t>전주시 영상진흥조례</t>
    <phoneticPr fontId="2" type="noConversion"/>
  </si>
  <si>
    <t>윤선아</t>
    <phoneticPr fontId="2" type="noConversion"/>
  </si>
  <si>
    <t>063-281-2073</t>
    <phoneticPr fontId="2" type="noConversion"/>
  </si>
  <si>
    <t>2022 전주 재즈페스티벌</t>
    <phoneticPr fontId="2" type="noConversion"/>
  </si>
  <si>
    <t>전주일원</t>
    <phoneticPr fontId="2" type="noConversion"/>
  </si>
  <si>
    <t>미개최</t>
    <phoneticPr fontId="2" type="noConversion"/>
  </si>
  <si>
    <t>양소정</t>
    <phoneticPr fontId="2" type="noConversion"/>
  </si>
  <si>
    <t>063-281-2697</t>
    <phoneticPr fontId="2" type="noConversion"/>
  </si>
  <si>
    <t>제26회 전주한지문화축제</t>
    <phoneticPr fontId="2" type="noConversion"/>
  </si>
  <si>
    <t>5월 중 3일</t>
    <phoneticPr fontId="2" type="noConversion"/>
  </si>
  <si>
    <t>한국전통문화전당</t>
    <phoneticPr fontId="2" type="noConversion"/>
  </si>
  <si>
    <t>전주한지문화축제조직위원회</t>
    <phoneticPr fontId="2" type="noConversion"/>
  </si>
  <si>
    <t>축제조직위</t>
    <phoneticPr fontId="2" type="noConversion"/>
  </si>
  <si>
    <t>최은지</t>
    <phoneticPr fontId="2" type="noConversion"/>
  </si>
  <si>
    <t>281-2931</t>
    <phoneticPr fontId="2" type="noConversion"/>
  </si>
  <si>
    <t>세계문화주간</t>
    <phoneticPr fontId="2" type="noConversion"/>
  </si>
  <si>
    <t>6월 중</t>
    <phoneticPr fontId="2" type="noConversion"/>
  </si>
  <si>
    <t>281-2697</t>
    <phoneticPr fontId="2" type="noConversion"/>
  </si>
  <si>
    <t>제47회 전주대사습놀이 전국대회</t>
    <phoneticPr fontId="2" type="noConversion"/>
  </si>
  <si>
    <t>5.14~5.30</t>
    <phoneticPr fontId="2" type="noConversion"/>
  </si>
  <si>
    <t>비대면(청중평가단 50)</t>
    <phoneticPr fontId="2" type="noConversion"/>
  </si>
  <si>
    <t>전주대사습놀이 조직위원회</t>
    <phoneticPr fontId="2" type="noConversion"/>
  </si>
  <si>
    <t>문화예술진흥법 제3조</t>
    <phoneticPr fontId="2" type="noConversion"/>
  </si>
  <si>
    <t>주정용</t>
    <phoneticPr fontId="2" type="noConversion"/>
  </si>
  <si>
    <t>281-2680</t>
    <phoneticPr fontId="2" type="noConversion"/>
  </si>
  <si>
    <t>전주 단오 행사</t>
  </si>
  <si>
    <t>6.3~6.4</t>
    <phoneticPr fontId="2" type="noConversion"/>
  </si>
  <si>
    <t>덕진공원 일원</t>
    <phoneticPr fontId="2" type="noConversion"/>
  </si>
  <si>
    <t>온라인</t>
    <phoneticPr fontId="2" type="noConversion"/>
  </si>
  <si>
    <t>(사)풍남문화법인</t>
    <phoneticPr fontId="2" type="noConversion"/>
  </si>
  <si>
    <t>빈효정</t>
    <phoneticPr fontId="2" type="noConversion"/>
  </si>
  <si>
    <t>281-2532</t>
    <phoneticPr fontId="2" type="noConversion"/>
  </si>
  <si>
    <t>2022 전주얼티밋뮤직페스티벌</t>
    <phoneticPr fontId="2" type="noConversion"/>
  </si>
  <si>
    <t>8.5~8.7</t>
    <phoneticPr fontId="2" type="noConversion"/>
  </si>
  <si>
    <t>전주종합경기장</t>
    <phoneticPr fontId="2" type="noConversion"/>
  </si>
  <si>
    <t>전주문화방송</t>
    <phoneticPr fontId="2" type="noConversion"/>
  </si>
  <si>
    <t>법인</t>
    <phoneticPr fontId="2" type="noConversion"/>
  </si>
  <si>
    <t>진소라</t>
    <phoneticPr fontId="2" type="noConversion"/>
  </si>
  <si>
    <t>063-281-5092</t>
    <phoneticPr fontId="2" type="noConversion"/>
  </si>
  <si>
    <t>전주비빔밥축제</t>
  </si>
  <si>
    <t>10.6~10.9</t>
    <phoneticPr fontId="2" type="noConversion"/>
  </si>
  <si>
    <t>한옥마을일원</t>
    <phoneticPr fontId="2" type="noConversion"/>
  </si>
  <si>
    <t>변문선</t>
    <phoneticPr fontId="2" type="noConversion"/>
  </si>
  <si>
    <t>063-281-2382</t>
    <phoneticPr fontId="2" type="noConversion"/>
  </si>
  <si>
    <t>서학동갤러리길 미술축제(쿤스트서학)</t>
    <phoneticPr fontId="2" type="noConversion"/>
  </si>
  <si>
    <t>서학동예술마을</t>
    <phoneticPr fontId="2" type="noConversion"/>
  </si>
  <si>
    <t>서학동 갤러리길 협의회</t>
    <phoneticPr fontId="2" type="noConversion"/>
  </si>
  <si>
    <t>민간단체</t>
    <phoneticPr fontId="2" type="noConversion"/>
  </si>
  <si>
    <t>063-281-2532</t>
    <phoneticPr fontId="2" type="noConversion"/>
  </si>
  <si>
    <t>제12회 얼굴없는천사 축제</t>
    <phoneticPr fontId="2" type="noConversion"/>
  </si>
  <si>
    <t>10.3~10.4</t>
    <phoneticPr fontId="2" type="noConversion"/>
  </si>
  <si>
    <t>노송동 천사공원</t>
    <phoneticPr fontId="2" type="noConversion"/>
  </si>
  <si>
    <t>얼굴없는천사축제조직위원회</t>
    <phoneticPr fontId="2" type="noConversion"/>
  </si>
  <si>
    <t>신동훈</t>
    <phoneticPr fontId="2" type="noConversion"/>
  </si>
  <si>
    <t>063-281-2498</t>
    <phoneticPr fontId="2" type="noConversion"/>
  </si>
  <si>
    <t>군산시</t>
    <phoneticPr fontId="2" type="noConversion"/>
  </si>
  <si>
    <t>2022 제10회 군산시간여행축제</t>
    <phoneticPr fontId="2" type="noConversion"/>
  </si>
  <si>
    <t>전통역사
문화예술</t>
    <phoneticPr fontId="2" type="noConversion"/>
  </si>
  <si>
    <t>10.1~10.16</t>
    <phoneticPr fontId="2" type="noConversion"/>
  </si>
  <si>
    <t>시간여행마을권역
구시청광장</t>
    <phoneticPr fontId="2" type="noConversion"/>
  </si>
  <si>
    <t>군산시간여행축제
추진위원회</t>
    <phoneticPr fontId="2" type="noConversion"/>
  </si>
  <si>
    <t>군산시 축제발전 및 운영에 관한 조례</t>
    <phoneticPr fontId="2" type="noConversion"/>
  </si>
  <si>
    <t>이진규</t>
    <phoneticPr fontId="2" type="noConversion"/>
  </si>
  <si>
    <t>063-454-3304</t>
    <phoneticPr fontId="2" type="noConversion"/>
  </si>
  <si>
    <t>2022 제17회 군산꽁당보리축제</t>
    <phoneticPr fontId="2" type="noConversion"/>
  </si>
  <si>
    <t>생태자연
특산물</t>
    <phoneticPr fontId="2" type="noConversion"/>
  </si>
  <si>
    <t>4.30~5.4</t>
    <phoneticPr fontId="2" type="noConversion"/>
  </si>
  <si>
    <t>미성동 
국제문화마을 일원</t>
    <phoneticPr fontId="2" type="noConversion"/>
  </si>
  <si>
    <t>군산꽁당보리축제
추진위원회</t>
    <phoneticPr fontId="2" type="noConversion"/>
  </si>
  <si>
    <t>이정용</t>
    <phoneticPr fontId="2" type="noConversion"/>
  </si>
  <si>
    <t>063-454-5232</t>
    <phoneticPr fontId="2" type="noConversion"/>
  </si>
  <si>
    <t>2022 군산짬뽕페스티벌</t>
    <phoneticPr fontId="2" type="noConversion"/>
  </si>
  <si>
    <t>짬뽕특화거리</t>
    <phoneticPr fontId="2" type="noConversion"/>
  </si>
  <si>
    <t>전세미</t>
    <phoneticPr fontId="2" type="noConversion"/>
  </si>
  <si>
    <t>063-454-3414</t>
    <phoneticPr fontId="2" type="noConversion"/>
  </si>
  <si>
    <t>2022 군산 수제맥주 페스티벌</t>
    <phoneticPr fontId="2" type="noConversion"/>
  </si>
  <si>
    <t>문화예술
특산물</t>
    <phoneticPr fontId="2" type="noConversion"/>
  </si>
  <si>
    <t>10월 중 2주간</t>
    <phoneticPr fontId="2" type="noConversion"/>
  </si>
  <si>
    <t>내항 및 째보선창 일원</t>
    <phoneticPr fontId="2" type="noConversion"/>
  </si>
  <si>
    <t>이정미</t>
    <phoneticPr fontId="2" type="noConversion"/>
  </si>
  <si>
    <t>063-454-3013</t>
    <phoneticPr fontId="2" type="noConversion"/>
  </si>
  <si>
    <t>익산시</t>
    <phoneticPr fontId="2" type="noConversion"/>
  </si>
  <si>
    <t>익산서동축제</t>
    <phoneticPr fontId="2" type="noConversion"/>
  </si>
  <si>
    <t>금마서동공원</t>
    <phoneticPr fontId="2" type="noConversion"/>
  </si>
  <si>
    <t>익산문화관광재단</t>
    <phoneticPr fontId="2" type="noConversion"/>
  </si>
  <si>
    <t>익산문화관광재단 설립 및 운영에 관한 조례</t>
    <phoneticPr fontId="2" type="noConversion"/>
  </si>
  <si>
    <t>유영일</t>
    <phoneticPr fontId="2" type="noConversion"/>
  </si>
  <si>
    <t>063-859-5826</t>
    <phoneticPr fontId="2" type="noConversion"/>
  </si>
  <si>
    <t>제19회 익산 천만송이 국화축제</t>
    <phoneticPr fontId="2" type="noConversion"/>
  </si>
  <si>
    <t>10월~11월 중</t>
    <phoneticPr fontId="2" type="noConversion"/>
  </si>
  <si>
    <t>중앙체육공원</t>
    <phoneticPr fontId="2" type="noConversion"/>
  </si>
  <si>
    <t>미집계</t>
    <phoneticPr fontId="2" type="noConversion"/>
  </si>
  <si>
    <t>기술보급과</t>
    <phoneticPr fontId="2" type="noConversion"/>
  </si>
  <si>
    <t>노은희</t>
    <phoneticPr fontId="2" type="noConversion"/>
  </si>
  <si>
    <t>063-859-4977</t>
    <phoneticPr fontId="2" type="noConversion"/>
  </si>
  <si>
    <t>두동편백마을 힐링 숲 축제</t>
    <phoneticPr fontId="2" type="noConversion"/>
  </si>
  <si>
    <t>두동편백마을</t>
    <phoneticPr fontId="2" type="noConversion"/>
  </si>
  <si>
    <t>1,000여명</t>
    <phoneticPr fontId="2" type="noConversion"/>
  </si>
  <si>
    <t>함라두레마당 떡볶이문화축제</t>
    <phoneticPr fontId="2" type="noConversion"/>
  </si>
  <si>
    <t>함라두레마당</t>
    <phoneticPr fontId="2" type="noConversion"/>
  </si>
  <si>
    <t>정읍시</t>
    <phoneticPr fontId="2" type="noConversion"/>
  </si>
  <si>
    <t>정읍 벚꽃축제</t>
    <phoneticPr fontId="2" type="noConversion"/>
  </si>
  <si>
    <t>4월초(5일간)</t>
    <phoneticPr fontId="2" type="noConversion"/>
  </si>
  <si>
    <t>하천</t>
    <phoneticPr fontId="2" type="noConversion"/>
  </si>
  <si>
    <t>최지연</t>
    <phoneticPr fontId="2" type="noConversion"/>
  </si>
  <si>
    <t>063-539-5202</t>
    <phoneticPr fontId="2" type="noConversion"/>
  </si>
  <si>
    <t>정읍천 빛축제</t>
    <phoneticPr fontId="2" type="noConversion"/>
  </si>
  <si>
    <t>10월~11월</t>
    <phoneticPr fontId="2" type="noConversion"/>
  </si>
  <si>
    <t>정읍 구절초 꽃축제</t>
    <phoneticPr fontId="2" type="noConversion"/>
  </si>
  <si>
    <t>9.29~10.17(18일간)</t>
    <phoneticPr fontId="2" type="noConversion"/>
  </si>
  <si>
    <t>공원</t>
    <phoneticPr fontId="2" type="noConversion"/>
  </si>
  <si>
    <t>정읍시 농업정책과/
정읍시구절초축제추진위원회</t>
    <phoneticPr fontId="2" type="noConversion"/>
  </si>
  <si>
    <t xml:space="preserve">정읍시 구절초축제 추진위원회 운영 조례 </t>
    <phoneticPr fontId="2" type="noConversion"/>
  </si>
  <si>
    <t>송대효</t>
    <phoneticPr fontId="2" type="noConversion"/>
  </si>
  <si>
    <t>063-539-6172</t>
    <phoneticPr fontId="2" type="noConversion"/>
  </si>
  <si>
    <t>솔티모시 달빛축제</t>
    <phoneticPr fontId="2" type="noConversion"/>
  </si>
  <si>
    <t>10월초(2일)</t>
    <phoneticPr fontId="2" type="noConversion"/>
  </si>
  <si>
    <t>솔티마을</t>
    <phoneticPr fontId="2" type="noConversion"/>
  </si>
  <si>
    <t>남원시</t>
    <phoneticPr fontId="2" type="noConversion"/>
  </si>
  <si>
    <t>제92회 춘향제</t>
    <phoneticPr fontId="2" type="noConversion"/>
  </si>
  <si>
    <t>5.4~5.8</t>
    <phoneticPr fontId="2" type="noConversion"/>
  </si>
  <si>
    <t>광한루원 및 요천로 일원</t>
    <phoneticPr fontId="2" type="noConversion"/>
  </si>
  <si>
    <t>무관객</t>
    <phoneticPr fontId="2" type="noConversion"/>
  </si>
  <si>
    <t>춘향제전위원회</t>
    <phoneticPr fontId="2" type="noConversion"/>
  </si>
  <si>
    <t>남원시 춘향제 조례</t>
    <phoneticPr fontId="2" type="noConversion"/>
  </si>
  <si>
    <t>배현태</t>
    <phoneticPr fontId="2" type="noConversion"/>
  </si>
  <si>
    <t>063-620-6170</t>
    <phoneticPr fontId="2" type="noConversion"/>
  </si>
  <si>
    <t>제30회 흥부제</t>
    <phoneticPr fontId="2" type="noConversion"/>
  </si>
  <si>
    <t>10.7~10.9</t>
    <phoneticPr fontId="2" type="noConversion"/>
  </si>
  <si>
    <t>사랑의 광장,인월면</t>
    <phoneticPr fontId="2" type="noConversion"/>
  </si>
  <si>
    <t>흥부제전위원회</t>
  </si>
  <si>
    <t xml:space="preserve">남원시 흥부제 조례 </t>
    <phoneticPr fontId="2" type="noConversion"/>
  </si>
  <si>
    <t>지리산바래봉 눈꽃축제</t>
    <phoneticPr fontId="14" type="noConversion"/>
  </si>
  <si>
    <t>1월~2월 중</t>
    <phoneticPr fontId="14" type="noConversion"/>
  </si>
  <si>
    <t>운봉읍 용산리 268-6</t>
    <phoneticPr fontId="2" type="noConversion"/>
  </si>
  <si>
    <t>운봉애향회</t>
    <phoneticPr fontId="2" type="noConversion"/>
  </si>
  <si>
    <t>이정숙</t>
    <phoneticPr fontId="2" type="noConversion"/>
  </si>
  <si>
    <t>063-620-6168</t>
    <phoneticPr fontId="2" type="noConversion"/>
  </si>
  <si>
    <t>지리산 바래봉 철쭉제</t>
    <phoneticPr fontId="14" type="noConversion"/>
  </si>
  <si>
    <t>4월말~5월초(30일정도)</t>
    <phoneticPr fontId="14" type="noConversion"/>
  </si>
  <si>
    <t>운봉애향회</t>
  </si>
  <si>
    <t>지리산산수유꽃축제</t>
    <phoneticPr fontId="14" type="noConversion"/>
  </si>
  <si>
    <t>3월 중(2일간)</t>
    <phoneticPr fontId="14" type="noConversion"/>
  </si>
  <si>
    <t>주천면 용궁리 일원</t>
    <phoneticPr fontId="2" type="noConversion"/>
  </si>
  <si>
    <t>주천면발전협의회</t>
    <phoneticPr fontId="2" type="noConversion"/>
  </si>
  <si>
    <t>063-620-6168</t>
  </si>
  <si>
    <t>혼불문학 신행길 축제</t>
    <phoneticPr fontId="14" type="noConversion"/>
  </si>
  <si>
    <t>10월 중(2일간)</t>
    <phoneticPr fontId="14" type="noConversion"/>
  </si>
  <si>
    <t>구)서도역 일원</t>
    <phoneticPr fontId="2" type="noConversion"/>
  </si>
  <si>
    <t>노봉혼불문학마을회</t>
    <phoneticPr fontId="2" type="noConversion"/>
  </si>
  <si>
    <t>한여름밤의 남원 막걸리축제</t>
    <phoneticPr fontId="14" type="noConversion"/>
  </si>
  <si>
    <t>지역특산물</t>
    <phoneticPr fontId="2" type="noConversion"/>
  </si>
  <si>
    <t>9.2~9.4</t>
    <phoneticPr fontId="14" type="noConversion"/>
  </si>
  <si>
    <t>사랑의 광장</t>
    <phoneticPr fontId="2" type="noConversion"/>
  </si>
  <si>
    <t>김제시</t>
    <phoneticPr fontId="2" type="noConversion"/>
  </si>
  <si>
    <t>모악산축제</t>
    <phoneticPr fontId="2" type="noConversion"/>
  </si>
  <si>
    <t>생태자연, 특산물</t>
    <phoneticPr fontId="2" type="noConversion"/>
  </si>
  <si>
    <t>4월중 3일간</t>
    <phoneticPr fontId="2" type="noConversion"/>
  </si>
  <si>
    <t>모악산일원</t>
    <phoneticPr fontId="2" type="noConversion"/>
  </si>
  <si>
    <t>최정연</t>
    <phoneticPr fontId="2" type="noConversion"/>
  </si>
  <si>
    <t>063-540-3118</t>
    <phoneticPr fontId="2" type="noConversion"/>
  </si>
  <si>
    <t>지평선광활햇감자축제</t>
    <phoneticPr fontId="2" type="noConversion"/>
  </si>
  <si>
    <t>4.17~4.18</t>
    <phoneticPr fontId="2" type="noConversion"/>
  </si>
  <si>
    <t>광황초등학교 일원</t>
    <phoneticPr fontId="2" type="noConversion"/>
  </si>
  <si>
    <t>지평선광활
햇감자추진위원회</t>
    <phoneticPr fontId="2" type="noConversion"/>
  </si>
  <si>
    <t>정혜자</t>
    <phoneticPr fontId="2" type="noConversion"/>
  </si>
  <si>
    <t>063-540-4881</t>
    <phoneticPr fontId="2" type="noConversion"/>
  </si>
  <si>
    <t>지평선축억의 보리밭축제</t>
    <phoneticPr fontId="2" type="noConversion"/>
  </si>
  <si>
    <t>5.4~5.6</t>
    <phoneticPr fontId="2" type="noConversion"/>
  </si>
  <si>
    <t>진봉면 심포리 일원</t>
    <phoneticPr fontId="2" type="noConversion"/>
  </si>
  <si>
    <t>진봉면 
지역발전협의회</t>
    <phoneticPr fontId="2" type="noConversion"/>
  </si>
  <si>
    <t>최민아</t>
    <phoneticPr fontId="2" type="noConversion"/>
  </si>
  <si>
    <t>.063-540-4790</t>
    <phoneticPr fontId="2" type="noConversion"/>
  </si>
  <si>
    <t>김제지평선축제</t>
    <phoneticPr fontId="2" type="noConversion"/>
  </si>
  <si>
    <t>문화예술,전통역사</t>
    <phoneticPr fontId="2" type="noConversion"/>
  </si>
  <si>
    <t>9월~10월중(5일간)</t>
    <phoneticPr fontId="2" type="noConversion"/>
  </si>
  <si>
    <t>김제시 일원(벽골제)</t>
    <phoneticPr fontId="2" type="noConversion"/>
  </si>
  <si>
    <t>사)김제시
지평선축제
제전위원회</t>
    <phoneticPr fontId="2" type="noConversion"/>
  </si>
  <si>
    <t>김제시지평선축제조례</t>
    <phoneticPr fontId="2" type="noConversion"/>
  </si>
  <si>
    <t>이성하</t>
    <phoneticPr fontId="2" type="noConversion"/>
  </si>
  <si>
    <t>063-540-3190</t>
    <phoneticPr fontId="2" type="noConversion"/>
  </si>
  <si>
    <t>완주군</t>
    <phoneticPr fontId="2" type="noConversion"/>
  </si>
  <si>
    <t>제10회 와일드&amp;로컬푸드축제</t>
  </si>
  <si>
    <t>9~10월 중</t>
  </si>
  <si>
    <t>완주군 일원</t>
    <phoneticPr fontId="2" type="noConversion"/>
  </si>
  <si>
    <t>와일드&amp;로컬푸드축제추진위원회</t>
  </si>
  <si>
    <t>완주군 와일드앤로컬푸드축제 운영에 관한 조례</t>
  </si>
  <si>
    <t>김정아</t>
  </si>
  <si>
    <t>063-290-2622</t>
  </si>
  <si>
    <t>제5회 오성한옥마을 오픈가든축제</t>
  </si>
  <si>
    <t>소양오성한옥마을</t>
  </si>
  <si>
    <t>오성한옥마을</t>
  </si>
  <si>
    <t>영농조합법인</t>
  </si>
  <si>
    <t>김화선</t>
  </si>
  <si>
    <t>063-290-2623</t>
  </si>
  <si>
    <t>제21회  완주삼례딸기축제</t>
    <phoneticPr fontId="14" type="noConversion"/>
  </si>
  <si>
    <t>특산물</t>
    <phoneticPr fontId="14" type="noConversion"/>
  </si>
  <si>
    <t>3월 중</t>
    <phoneticPr fontId="2" type="noConversion"/>
  </si>
  <si>
    <t>삼례읍행정복지센터</t>
    <phoneticPr fontId="2" type="noConversion"/>
  </si>
  <si>
    <t>삼례농협</t>
    <phoneticPr fontId="2" type="noConversion"/>
  </si>
  <si>
    <t>농업·농촌 및 식품산업기본법 제51조 2항</t>
  </si>
  <si>
    <t>한용수</t>
    <phoneticPr fontId="2" type="noConversion"/>
  </si>
  <si>
    <t>063-290-3321</t>
    <phoneticPr fontId="2" type="noConversion"/>
  </si>
  <si>
    <t>제8회 곶감축제</t>
    <phoneticPr fontId="2" type="noConversion"/>
  </si>
  <si>
    <t>12월 중</t>
    <phoneticPr fontId="2" type="noConversion"/>
  </si>
  <si>
    <t>운주면</t>
    <phoneticPr fontId="2" type="noConversion"/>
  </si>
  <si>
    <t>완주곶감축제제전위원회</t>
    <phoneticPr fontId="2" type="noConversion"/>
  </si>
  <si>
    <t>완주군 임업인 및 임업관련 단체 육성·지원 조례</t>
  </si>
  <si>
    <t>유동호</t>
    <phoneticPr fontId="2" type="noConversion"/>
  </si>
  <si>
    <t>063-290-2757</t>
    <phoneticPr fontId="2" type="noConversion"/>
  </si>
  <si>
    <t>진안군</t>
    <phoneticPr fontId="2" type="noConversion"/>
  </si>
  <si>
    <t>제18회 진안고원운장산고로쇠축제</t>
    <phoneticPr fontId="14" type="noConversion"/>
  </si>
  <si>
    <t>3월 초</t>
    <phoneticPr fontId="2" type="noConversion"/>
  </si>
  <si>
    <t>주천면 일원</t>
    <phoneticPr fontId="2" type="noConversion"/>
  </si>
  <si>
    <t>진안고원 운장산 고로쇠 축제 위원회</t>
    <phoneticPr fontId="2" type="noConversion"/>
  </si>
  <si>
    <t>송유섭</t>
    <phoneticPr fontId="2" type="noConversion"/>
  </si>
  <si>
    <t>063-430-2393</t>
    <phoneticPr fontId="2" type="noConversion"/>
  </si>
  <si>
    <t>2022 진안고원 꽃잔디축제</t>
    <phoneticPr fontId="14" type="noConversion"/>
  </si>
  <si>
    <t>4월 중순</t>
    <phoneticPr fontId="2" type="noConversion"/>
  </si>
  <si>
    <t>진안 원연장 꽃잔디 동산</t>
    <phoneticPr fontId="2" type="noConversion"/>
  </si>
  <si>
    <t>진안고원 꽃잔디 축제 추진위원회</t>
    <phoneticPr fontId="2" type="noConversion"/>
  </si>
  <si>
    <t>063-430-2393</t>
  </si>
  <si>
    <t>제14회 진안고원 수박축제</t>
    <phoneticPr fontId="14" type="noConversion"/>
  </si>
  <si>
    <t>7월 말</t>
    <phoneticPr fontId="2" type="noConversion"/>
  </si>
  <si>
    <t>동향면 체련공원</t>
    <phoneticPr fontId="2" type="noConversion"/>
  </si>
  <si>
    <t>진안고원 수박축제 추진위원회</t>
    <phoneticPr fontId="2" type="noConversion"/>
  </si>
  <si>
    <t>2022 진안홍삼축제</t>
    <phoneticPr fontId="14" type="noConversion"/>
  </si>
  <si>
    <t>10월 중순</t>
    <phoneticPr fontId="2" type="noConversion"/>
  </si>
  <si>
    <t>마이돈 테마공원</t>
    <phoneticPr fontId="2" type="noConversion"/>
  </si>
  <si>
    <t>진안홍삼삼축제 추진위원회</t>
    <phoneticPr fontId="2" type="noConversion"/>
  </si>
  <si>
    <t xml:space="preserve">진안홍삼축제 추진위원회 정관 </t>
    <phoneticPr fontId="2" type="noConversion"/>
  </si>
  <si>
    <t>고강엽</t>
    <phoneticPr fontId="2" type="noConversion"/>
  </si>
  <si>
    <t>063-430-2392</t>
    <phoneticPr fontId="2" type="noConversion"/>
  </si>
  <si>
    <t>제4회 진안고원 가족과 함께하는 김치보쌈축제</t>
  </si>
  <si>
    <t>11.18~11.19</t>
    <phoneticPr fontId="2" type="noConversion"/>
  </si>
  <si>
    <t>진안YMCA</t>
    <phoneticPr fontId="2" type="noConversion"/>
  </si>
  <si>
    <t>시민단체</t>
    <phoneticPr fontId="2" type="noConversion"/>
  </si>
  <si>
    <t>무주군</t>
    <phoneticPr fontId="2" type="noConversion"/>
  </si>
  <si>
    <t>제26회 무주반딧불축제</t>
  </si>
  <si>
    <t>8.27~9.4</t>
    <phoneticPr fontId="2" type="noConversion"/>
  </si>
  <si>
    <t>무주군 일원</t>
    <phoneticPr fontId="2" type="noConversion"/>
  </si>
  <si>
    <t>(사)무주반딧불축제제전위원회</t>
  </si>
  <si>
    <t>무주군 지역축제 지원 조례</t>
  </si>
  <si>
    <t>유우상</t>
  </si>
  <si>
    <t>063-320-2537</t>
  </si>
  <si>
    <t>제10회 무주 산골영화제</t>
  </si>
  <si>
    <t>6.2~6.6</t>
    <phoneticPr fontId="2" type="noConversion"/>
  </si>
  <si>
    <t>등나무 운동장 일원</t>
  </si>
  <si>
    <t>산골문화재단</t>
  </si>
  <si>
    <t>김성옥</t>
  </si>
  <si>
    <t>063-320-2541</t>
  </si>
  <si>
    <t>제16회 두문낙화놀이축제</t>
  </si>
  <si>
    <t>8.5~8.6</t>
    <phoneticPr fontId="2" type="noConversion"/>
  </si>
  <si>
    <t>안성면 두문마을 일원</t>
    <phoneticPr fontId="2" type="noConversion"/>
  </si>
  <si>
    <t>두문리 낙화놀이 보존회</t>
  </si>
  <si>
    <t>제11회 명천마을 맨손송어잡기 축제</t>
  </si>
  <si>
    <t>8.1~8.15</t>
    <phoneticPr fontId="2" type="noConversion"/>
  </si>
  <si>
    <t>안성면 명천마을 일원</t>
    <phoneticPr fontId="2" type="noConversion"/>
  </si>
  <si>
    <t>명천솔밭영농조합법인</t>
    <phoneticPr fontId="2" type="noConversion"/>
  </si>
  <si>
    <t>영농조합법인</t>
    <phoneticPr fontId="2" type="noConversion"/>
  </si>
  <si>
    <t>장수군</t>
    <phoneticPr fontId="2" type="noConversion"/>
  </si>
  <si>
    <t>제16회 장수 한우랑 사과랑 축제</t>
  </si>
  <si>
    <t>10월말</t>
  </si>
  <si>
    <t>의암공원 및 누리파크 일원</t>
    <phoneticPr fontId="2" type="noConversion"/>
  </si>
  <si>
    <t>사)장수한우랑사과랑축제추진위원회'</t>
  </si>
  <si>
    <t>장수군 지역축제 육성 및 지원에 관한 조례</t>
  </si>
  <si>
    <t>유하영</t>
  </si>
  <si>
    <t>063-350-2356</t>
  </si>
  <si>
    <t>제6회 번암 물빛 축제</t>
  </si>
  <si>
    <t>7월말</t>
  </si>
  <si>
    <t>장수 물빛 공원</t>
  </si>
  <si>
    <t>대명</t>
  </si>
  <si>
    <t>번암면물빛축제추진위원회</t>
  </si>
  <si>
    <t>오후조</t>
  </si>
  <si>
    <t>063-350-2357</t>
  </si>
  <si>
    <t>임실군</t>
    <phoneticPr fontId="2" type="noConversion"/>
  </si>
  <si>
    <t>옥정호 벚꽃축제</t>
    <phoneticPr fontId="2" type="noConversion"/>
  </si>
  <si>
    <t>4.1~4.3</t>
    <phoneticPr fontId="2" type="noConversion"/>
  </si>
  <si>
    <t>옥정호일원</t>
    <phoneticPr fontId="2" type="noConversion"/>
  </si>
  <si>
    <t>운암면지역발전협의회</t>
    <phoneticPr fontId="2" type="noConversion"/>
  </si>
  <si>
    <t>비영리민간단체지원법</t>
    <phoneticPr fontId="2" type="noConversion"/>
  </si>
  <si>
    <t>김지영</t>
    <phoneticPr fontId="2" type="noConversion"/>
  </si>
  <si>
    <t>063-640-2313</t>
    <phoneticPr fontId="2" type="noConversion"/>
  </si>
  <si>
    <t>의견문화제</t>
    <phoneticPr fontId="2" type="noConversion"/>
  </si>
  <si>
    <t>오수의견공원</t>
    <phoneticPr fontId="2" type="noConversion"/>
  </si>
  <si>
    <t>의견문화제전위원회</t>
    <phoneticPr fontId="2" type="noConversion"/>
  </si>
  <si>
    <t>필봉마을굿축제</t>
    <phoneticPr fontId="2" type="noConversion"/>
  </si>
  <si>
    <t>필봉농악전수교육관</t>
    <phoneticPr fontId="2" type="noConversion"/>
  </si>
  <si>
    <t>임실필봉농악보존회</t>
    <phoneticPr fontId="2" type="noConversion"/>
  </si>
  <si>
    <t>사선문화제</t>
    <phoneticPr fontId="2" type="noConversion"/>
  </si>
  <si>
    <t>관촌사선대</t>
    <phoneticPr fontId="2" type="noConversion"/>
  </si>
  <si>
    <t>사선문화제전위원회</t>
    <phoneticPr fontId="2" type="noConversion"/>
  </si>
  <si>
    <t>민법</t>
    <phoneticPr fontId="2" type="noConversion"/>
  </si>
  <si>
    <t>아쿠아페스티벌</t>
    <phoneticPr fontId="2" type="noConversion"/>
  </si>
  <si>
    <t>기타(주민화합등)</t>
    <phoneticPr fontId="2" type="noConversion"/>
  </si>
  <si>
    <t>7월~8월</t>
    <phoneticPr fontId="2" type="noConversion"/>
  </si>
  <si>
    <t>임실치즈테마파크</t>
    <phoneticPr fontId="2" type="noConversion"/>
  </si>
  <si>
    <t>(재)임실치즈테마파크</t>
    <phoneticPr fontId="2" type="noConversion"/>
  </si>
  <si>
    <t>재단법인 임실치즈테마파크 설립 및 운영에 관한 조례</t>
    <phoneticPr fontId="2" type="noConversion"/>
  </si>
  <si>
    <t>이정희</t>
    <phoneticPr fontId="2" type="noConversion"/>
  </si>
  <si>
    <t>063-640-2343</t>
    <phoneticPr fontId="2" type="noConversion"/>
  </si>
  <si>
    <t>임실산타축제</t>
    <phoneticPr fontId="2" type="noConversion"/>
  </si>
  <si>
    <t>12월말</t>
    <phoneticPr fontId="2" type="noConversion"/>
  </si>
  <si>
    <t>임실N치즈축제</t>
    <phoneticPr fontId="2" type="noConversion"/>
  </si>
  <si>
    <t>10.7~10.10</t>
    <phoneticPr fontId="2" type="noConversion"/>
  </si>
  <si>
    <t>임실치즈테마파크,임실치즈마을</t>
    <phoneticPr fontId="2" type="noConversion"/>
  </si>
  <si>
    <t>임실N치즈축제제전위원회</t>
    <phoneticPr fontId="2" type="noConversion"/>
  </si>
  <si>
    <t>임실군 축제육성 및 지원 등에 
관한 조례</t>
    <phoneticPr fontId="2" type="noConversion"/>
  </si>
  <si>
    <t>김학종</t>
    <phoneticPr fontId="2" type="noConversion"/>
  </si>
  <si>
    <t>063-640-2524</t>
    <phoneticPr fontId="2" type="noConversion"/>
  </si>
  <si>
    <t>순창군</t>
    <phoneticPr fontId="2" type="noConversion"/>
  </si>
  <si>
    <t>제20회 옥천골벚꽃축제</t>
    <phoneticPr fontId="2" type="noConversion"/>
  </si>
  <si>
    <t>4.7~4.10</t>
    <phoneticPr fontId="2" type="noConversion"/>
  </si>
  <si>
    <t>순창경천</t>
    <phoneticPr fontId="2" type="noConversion"/>
  </si>
  <si>
    <t>옥천골벚꽃축제 제전위원회</t>
    <phoneticPr fontId="2" type="noConversion"/>
  </si>
  <si>
    <t>순창군 지역문화 진흥에 관한 조례</t>
    <phoneticPr fontId="2" type="noConversion"/>
  </si>
  <si>
    <t>박지헌</t>
    <phoneticPr fontId="2" type="noConversion"/>
  </si>
  <si>
    <t>063-650-1624</t>
    <phoneticPr fontId="2" type="noConversion"/>
  </si>
  <si>
    <t>제3회 섬진강 슬로슬로 발효마을 축제</t>
    <phoneticPr fontId="2" type="noConversion"/>
  </si>
  <si>
    <t>8.6~8.7</t>
    <phoneticPr fontId="2" type="noConversion"/>
  </si>
  <si>
    <t>적성면 지내마을</t>
    <phoneticPr fontId="2" type="noConversion"/>
  </si>
  <si>
    <t>적성슬로공동체</t>
    <phoneticPr fontId="2" type="noConversion"/>
  </si>
  <si>
    <t>마을단체</t>
    <phoneticPr fontId="2" type="noConversion"/>
  </si>
  <si>
    <t>제17회 순창장류축제</t>
    <phoneticPr fontId="2" type="noConversion"/>
  </si>
  <si>
    <t>10.14~10.16</t>
    <phoneticPr fontId="2" type="noConversion"/>
  </si>
  <si>
    <t>고추장민속마을</t>
    <phoneticPr fontId="2" type="noConversion"/>
  </si>
  <si>
    <t>순창장류축제추진위원회</t>
    <phoneticPr fontId="2" type="noConversion"/>
  </si>
  <si>
    <t>순창장류축제 육성과 추진위원회 조례</t>
    <phoneticPr fontId="2" type="noConversion"/>
  </si>
  <si>
    <t>고창군</t>
    <phoneticPr fontId="2" type="noConversion"/>
  </si>
  <si>
    <t>고창 청보리밭축제</t>
  </si>
  <si>
    <t>4~5월중(23일간)</t>
    <phoneticPr fontId="2" type="noConversion"/>
  </si>
  <si>
    <t>공음면
학원농장
일원</t>
    <phoneticPr fontId="2" type="noConversion"/>
  </si>
  <si>
    <t>고창청보리밭
축제위원회</t>
    <phoneticPr fontId="2" type="noConversion"/>
  </si>
  <si>
    <t>정우영</t>
    <phoneticPr fontId="2" type="noConversion"/>
  </si>
  <si>
    <t>063-560-2523</t>
    <phoneticPr fontId="2" type="noConversion"/>
  </si>
  <si>
    <t>고창복분자와수박축제</t>
  </si>
  <si>
    <t>선운산
도립공원</t>
    <phoneticPr fontId="2" type="noConversion"/>
  </si>
  <si>
    <t>고창복분자와
수박축제위원회</t>
    <phoneticPr fontId="2" type="noConversion"/>
  </si>
  <si>
    <t>최인영</t>
    <phoneticPr fontId="2" type="noConversion"/>
  </si>
  <si>
    <t>063-560-2531</t>
    <phoneticPr fontId="2" type="noConversion"/>
  </si>
  <si>
    <t>고창갯벌축제</t>
  </si>
  <si>
    <t>6~7월 중
(3일간)</t>
    <phoneticPr fontId="2" type="noConversion"/>
  </si>
  <si>
    <t>심원만돌
일원</t>
    <phoneticPr fontId="2" type="noConversion"/>
  </si>
  <si>
    <t>고창갯벌
축제위원회</t>
    <phoneticPr fontId="2" type="noConversion"/>
  </si>
  <si>
    <t>표영인</t>
    <phoneticPr fontId="2" type="noConversion"/>
  </si>
  <si>
    <t>063-560-2631</t>
    <phoneticPr fontId="2" type="noConversion"/>
  </si>
  <si>
    <t>고창해풍고추축제</t>
  </si>
  <si>
    <t>8월 중
(2일간)</t>
    <phoneticPr fontId="2" type="noConversion"/>
  </si>
  <si>
    <t>해리면일원</t>
    <phoneticPr fontId="2" type="noConversion"/>
  </si>
  <si>
    <t>고창해풍고추
축제위원회</t>
    <phoneticPr fontId="2" type="noConversion"/>
  </si>
  <si>
    <t>김보성</t>
    <phoneticPr fontId="2" type="noConversion"/>
  </si>
  <si>
    <t>063-560-2533</t>
    <phoneticPr fontId="2" type="noConversion"/>
  </si>
  <si>
    <t>고창 모양성제</t>
  </si>
  <si>
    <t>10월 중(5일간)</t>
    <phoneticPr fontId="2" type="noConversion"/>
  </si>
  <si>
    <t>고창읍성일원</t>
    <phoneticPr fontId="2" type="noConversion"/>
  </si>
  <si>
    <t>(사)고창모양성
보존회</t>
    <phoneticPr fontId="2" type="noConversion"/>
  </si>
  <si>
    <t>민법 제32조</t>
    <phoneticPr fontId="2" type="noConversion"/>
  </si>
  <si>
    <t>김명선</t>
    <phoneticPr fontId="2" type="noConversion"/>
  </si>
  <si>
    <t>063-560-2949</t>
    <phoneticPr fontId="2" type="noConversion"/>
  </si>
  <si>
    <t>바지락 오감체험 페스티벌</t>
    <phoneticPr fontId="2" type="noConversion"/>
  </si>
  <si>
    <t>4.29~5.1</t>
    <phoneticPr fontId="2" type="noConversion"/>
  </si>
  <si>
    <t>하전리</t>
    <phoneticPr fontId="2" type="noConversion"/>
  </si>
  <si>
    <t>하촌어촌계</t>
    <phoneticPr fontId="2" type="noConversion"/>
  </si>
  <si>
    <t>수산업협동조합법</t>
    <phoneticPr fontId="2" type="noConversion"/>
  </si>
  <si>
    <t>김진현</t>
    <phoneticPr fontId="2" type="noConversion"/>
  </si>
  <si>
    <t>063-560-2733</t>
    <phoneticPr fontId="2" type="noConversion"/>
  </si>
  <si>
    <t>부안군</t>
    <phoneticPr fontId="2" type="noConversion"/>
  </si>
  <si>
    <t>제7회 개암동 벚꽃축제</t>
    <phoneticPr fontId="2" type="noConversion"/>
  </si>
  <si>
    <t>문화예술,기타(주민화합 등)</t>
    <phoneticPr fontId="2" type="noConversion"/>
  </si>
  <si>
    <t>4.2~4.3</t>
    <phoneticPr fontId="2" type="noConversion"/>
  </si>
  <si>
    <t>개암제일원</t>
    <phoneticPr fontId="2" type="noConversion"/>
  </si>
  <si>
    <t>개암동벚꽃축제추진위원회</t>
    <phoneticPr fontId="2" type="noConversion"/>
  </si>
  <si>
    <t>부안군 축제 발전 및 운영에 관한 조례</t>
    <phoneticPr fontId="2" type="noConversion"/>
  </si>
  <si>
    <t>최종열</t>
    <phoneticPr fontId="2" type="noConversion"/>
  </si>
  <si>
    <t>063-580-3703</t>
    <phoneticPr fontId="2" type="noConversion"/>
  </si>
  <si>
    <t>제14회 곰소젓갈발효축제</t>
  </si>
  <si>
    <t>곰소
 다용도
부지</t>
  </si>
  <si>
    <t>곰소젖갈발효축제추진위원회</t>
    <phoneticPr fontId="2" type="noConversion"/>
  </si>
  <si>
    <t>부안군 곰소젓갈발효축제 운영 조례</t>
    <phoneticPr fontId="2" type="noConversion"/>
  </si>
  <si>
    <t>박미소</t>
  </si>
  <si>
    <t>063-580-4489</t>
  </si>
  <si>
    <t>제9회 부안마실축제</t>
    <phoneticPr fontId="2" type="noConversion"/>
  </si>
  <si>
    <t>문화예술, 기타(주민화합 등)</t>
    <phoneticPr fontId="2" type="noConversion"/>
  </si>
  <si>
    <t>5.5 ~ 5.7</t>
    <phoneticPr fontId="2" type="noConversion"/>
  </si>
  <si>
    <t>부안군일원(매창공원)</t>
    <phoneticPr fontId="2" type="noConversion"/>
  </si>
  <si>
    <t>부안마실축제 제전위원회</t>
    <phoneticPr fontId="2" type="noConversion"/>
  </si>
  <si>
    <t>부안 마실축제 운영 조례</t>
    <phoneticPr fontId="2" type="noConversion"/>
  </si>
  <si>
    <t>김민제</t>
    <phoneticPr fontId="2" type="noConversion"/>
  </si>
  <si>
    <t>063-580-4777</t>
    <phoneticPr fontId="2" type="noConversion"/>
  </si>
  <si>
    <t>봄맞이해변축제</t>
  </si>
  <si>
    <t>특산물, 생태자연</t>
    <phoneticPr fontId="2" type="noConversion"/>
  </si>
  <si>
    <t>4~5월 중</t>
    <phoneticPr fontId="2" type="noConversion"/>
  </si>
  <si>
    <t>변산해수욕장 일원</t>
  </si>
  <si>
    <t>문화관광과</t>
    <phoneticPr fontId="2" type="noConversion"/>
  </si>
  <si>
    <t>고나영</t>
  </si>
  <si>
    <t>063-580-4739</t>
  </si>
  <si>
    <t>변산바다로페스티벌</t>
  </si>
  <si>
    <t>생태자연, 기타(주민화합 등)</t>
    <phoneticPr fontId="2" type="noConversion"/>
  </si>
  <si>
    <t>노을축제</t>
    <phoneticPr fontId="2" type="noConversion"/>
  </si>
  <si>
    <t>9~10월 중</t>
    <phoneticPr fontId="2" type="noConversion"/>
  </si>
  <si>
    <t>새만금잼버리과</t>
    <phoneticPr fontId="2" type="noConversion"/>
  </si>
  <si>
    <t>제12회부안가을愛국화축제</t>
  </si>
  <si>
    <t>기타(주민화합 등)</t>
    <phoneticPr fontId="2" type="noConversion"/>
  </si>
  <si>
    <t>10.28~11.6</t>
    <phoneticPr fontId="2" type="noConversion"/>
  </si>
  <si>
    <t>자연마당</t>
  </si>
  <si>
    <t>농업기술센터</t>
    <phoneticPr fontId="2" type="noConversion"/>
  </si>
  <si>
    <t>박병우</t>
  </si>
  <si>
    <t>063-580-3835</t>
    <phoneticPr fontId="2" type="noConversion"/>
  </si>
  <si>
    <t>유유참뽕축제</t>
    <phoneticPr fontId="2" type="noConversion"/>
  </si>
  <si>
    <t>6.11~6.10</t>
    <phoneticPr fontId="2" type="noConversion"/>
  </si>
  <si>
    <t>변산유유마을</t>
  </si>
  <si>
    <t>유유마을</t>
  </si>
  <si>
    <t>최형자</t>
  </si>
  <si>
    <t>063-580-3853</t>
    <phoneticPr fontId="2" type="noConversion"/>
  </si>
  <si>
    <t>님의뽕축제</t>
  </si>
  <si>
    <t>8.5~ 8.7</t>
    <phoneticPr fontId="2" type="noConversion"/>
  </si>
  <si>
    <t>변산면</t>
  </si>
  <si>
    <t>부안서림신문</t>
  </si>
  <si>
    <t>임의단체</t>
    <phoneticPr fontId="2" type="noConversion"/>
  </si>
  <si>
    <t>기능성양잠산업육성법</t>
  </si>
  <si>
    <t>김재현</t>
  </si>
  <si>
    <t>063-580-3854</t>
  </si>
  <si>
    <t>고슴도치섬 위도상사화길 달빛걷기 축제</t>
    <phoneticPr fontId="2" type="noConversion"/>
  </si>
  <si>
    <t>8.29~8.30</t>
    <phoneticPr fontId="2" type="noConversion"/>
  </si>
  <si>
    <t>위도해수욕장일원</t>
    <phoneticPr fontId="2" type="noConversion"/>
  </si>
  <si>
    <t>위도면</t>
    <phoneticPr fontId="2" type="noConversion"/>
  </si>
  <si>
    <t>홍민우</t>
    <phoneticPr fontId="2" type="noConversion"/>
  </si>
  <si>
    <t>063-580-3763</t>
    <phoneticPr fontId="2" type="noConversion"/>
  </si>
  <si>
    <t>설숭어축제</t>
    <phoneticPr fontId="2" type="noConversion"/>
  </si>
  <si>
    <t>문화예술, 특산물</t>
    <phoneticPr fontId="2" type="noConversion"/>
  </si>
  <si>
    <t>12월 중(3일간)</t>
    <phoneticPr fontId="2" type="noConversion"/>
  </si>
  <si>
    <t>부안상설시장일원</t>
    <phoneticPr fontId="2" type="noConversion"/>
  </si>
  <si>
    <t>부안상설시장상인회</t>
    <phoneticPr fontId="2" type="noConversion"/>
  </si>
  <si>
    <t>비영리단체</t>
    <phoneticPr fontId="2" type="noConversion"/>
  </si>
  <si>
    <t>류정부</t>
    <phoneticPr fontId="2" type="noConversion"/>
  </si>
  <si>
    <t>063-580-4117</t>
    <phoneticPr fontId="2" type="noConversion"/>
  </si>
  <si>
    <t>포항시</t>
    <phoneticPr fontId="2" type="noConversion"/>
  </si>
  <si>
    <t>포항 구룡포 대게 축제</t>
    <phoneticPr fontId="2" type="noConversion"/>
  </si>
  <si>
    <t>2월중(2일간)</t>
    <phoneticPr fontId="2" type="noConversion"/>
  </si>
  <si>
    <t>구룡포 아라광장</t>
    <phoneticPr fontId="2" type="noConversion"/>
  </si>
  <si>
    <t>현장개최(코로나19 지속상황에 따라 비대면 병행 추진예정)</t>
    <phoneticPr fontId="14" type="noConversion"/>
  </si>
  <si>
    <t>2019년</t>
    <phoneticPr fontId="2" type="noConversion"/>
  </si>
  <si>
    <t>구룡포수협</t>
    <phoneticPr fontId="2" type="noConversion"/>
  </si>
  <si>
    <t>민간</t>
    <phoneticPr fontId="2" type="noConversion"/>
  </si>
  <si>
    <t>김건희</t>
    <phoneticPr fontId="2" type="noConversion"/>
  </si>
  <si>
    <t>054-270-2853</t>
    <phoneticPr fontId="2" type="noConversion"/>
  </si>
  <si>
    <t>포항해병대문화축제</t>
    <phoneticPr fontId="2" type="noConversion"/>
  </si>
  <si>
    <t>2022.4.31~5.1</t>
    <phoneticPr fontId="2" type="noConversion"/>
  </si>
  <si>
    <t>오천읍 냉천수변공원, 도구해안</t>
    <phoneticPr fontId="2" type="noConversion"/>
  </si>
  <si>
    <t>2017년</t>
    <phoneticPr fontId="2" type="noConversion"/>
  </si>
  <si>
    <t>권은영</t>
    <phoneticPr fontId="2" type="noConversion"/>
  </si>
  <si>
    <t>054-270-2243</t>
    <phoneticPr fontId="2" type="noConversion"/>
  </si>
  <si>
    <t>포항 호미곶 돌문어 축제</t>
    <phoneticPr fontId="2" type="noConversion"/>
  </si>
  <si>
    <t>4월중(2일간)</t>
    <phoneticPr fontId="2" type="noConversion"/>
  </si>
  <si>
    <t>호미곶 새천년광장</t>
    <phoneticPr fontId="2" type="noConversion"/>
  </si>
  <si>
    <t>2009년</t>
    <phoneticPr fontId="2" type="noConversion"/>
  </si>
  <si>
    <t>호미곶돌문어축제추진위원회</t>
    <phoneticPr fontId="2" type="noConversion"/>
  </si>
  <si>
    <t>포항국제불빛축제</t>
    <phoneticPr fontId="2" type="noConversion"/>
  </si>
  <si>
    <t>2022.5.28~5.29</t>
    <phoneticPr fontId="2" type="noConversion"/>
  </si>
  <si>
    <t>형산강둔치(변경가능)</t>
    <phoneticPr fontId="2" type="noConversion"/>
  </si>
  <si>
    <t>2004년</t>
    <phoneticPr fontId="2" type="noConversion"/>
  </si>
  <si>
    <t>포항문화재단</t>
    <phoneticPr fontId="2" type="noConversion"/>
  </si>
  <si>
    <t>포항문화재단 설립 및 운영에 관한 조례</t>
    <phoneticPr fontId="2" type="noConversion"/>
  </si>
  <si>
    <t>문화체육관광부</t>
    <phoneticPr fontId="2" type="noConversion"/>
  </si>
  <si>
    <t>방유하</t>
    <phoneticPr fontId="2" type="noConversion"/>
  </si>
  <si>
    <t>054-270-2248</t>
    <phoneticPr fontId="2" type="noConversion"/>
  </si>
  <si>
    <t>장기산딸기문화축제</t>
    <phoneticPr fontId="2" type="noConversion"/>
  </si>
  <si>
    <t>6월중(2일간)</t>
    <phoneticPr fontId="2" type="noConversion"/>
  </si>
  <si>
    <t>장기면일원</t>
    <phoneticPr fontId="2" type="noConversion"/>
  </si>
  <si>
    <t>장기산딸기문화축제 추진위원회</t>
    <phoneticPr fontId="2" type="noConversion"/>
  </si>
  <si>
    <t>축제조직위원회</t>
    <phoneticPr fontId="2" type="noConversion"/>
  </si>
  <si>
    <t>정성민</t>
    <phoneticPr fontId="2" type="noConversion"/>
  </si>
  <si>
    <t>054-270-6665</t>
    <phoneticPr fontId="2" type="noConversion"/>
  </si>
  <si>
    <t>포항 영일만 검은돌장어 축제</t>
    <phoneticPr fontId="2" type="noConversion"/>
  </si>
  <si>
    <t>7월중(2일간)</t>
    <phoneticPr fontId="2" type="noConversion"/>
  </si>
  <si>
    <t>동해면 도구 해수욕장</t>
    <phoneticPr fontId="2" type="noConversion"/>
  </si>
  <si>
    <t>경북매일신문</t>
    <phoneticPr fontId="2" type="noConversion"/>
  </si>
  <si>
    <t>포항 철길숲 야행</t>
    <phoneticPr fontId="2" type="noConversion"/>
  </si>
  <si>
    <t>7~8월중(3일간)</t>
    <phoneticPr fontId="2" type="noConversion"/>
  </si>
  <si>
    <t>포항 철길숲 일원</t>
    <phoneticPr fontId="2" type="noConversion"/>
  </si>
  <si>
    <t>2022년</t>
    <phoneticPr fontId="2" type="noConversion"/>
  </si>
  <si>
    <t>포항 수산물 FESTIVAL</t>
    <phoneticPr fontId="2" type="noConversion"/>
  </si>
  <si>
    <t>송도동 포항 수협 활어 위판장 일원</t>
    <phoneticPr fontId="2" type="noConversion"/>
  </si>
  <si>
    <t>포항수협</t>
    <phoneticPr fontId="2" type="noConversion"/>
  </si>
  <si>
    <t>포항운하축제</t>
    <phoneticPr fontId="2" type="noConversion"/>
  </si>
  <si>
    <t>포항운하 일원</t>
    <phoneticPr fontId="2" type="noConversion"/>
  </si>
  <si>
    <t>포항MBC</t>
    <phoneticPr fontId="2" type="noConversion"/>
  </si>
  <si>
    <t>최태민</t>
    <phoneticPr fontId="2" type="noConversion"/>
  </si>
  <si>
    <t>054-270-2244</t>
    <phoneticPr fontId="2" type="noConversion"/>
  </si>
  <si>
    <t>포항시</t>
  </si>
  <si>
    <t>연일부조장터문화축제</t>
  </si>
  <si>
    <t>문화관광축제</t>
    <phoneticPr fontId="2" type="noConversion"/>
  </si>
  <si>
    <t>연일부조장터(형산강둔치)</t>
    <phoneticPr fontId="2" type="noConversion"/>
  </si>
  <si>
    <t>2008년</t>
    <phoneticPr fontId="2" type="noConversion"/>
  </si>
  <si>
    <t>연일향토청년회</t>
    <phoneticPr fontId="2" type="noConversion"/>
  </si>
  <si>
    <t>임진영</t>
    <phoneticPr fontId="2" type="noConversion"/>
  </si>
  <si>
    <t>054-270-6586</t>
    <phoneticPr fontId="2" type="noConversion"/>
  </si>
  <si>
    <t>제8회 포항흥해 황금들녘 허수아비 문화축제</t>
  </si>
  <si>
    <t>10월(2일간)</t>
    <phoneticPr fontId="2" type="noConversion"/>
  </si>
  <si>
    <t>흥해읍 곡강천변 일원</t>
    <phoneticPr fontId="2" type="noConversion"/>
  </si>
  <si>
    <t>흥해황금들녘허수아비문화축제위원회(261-3001)</t>
    <phoneticPr fontId="2" type="noConversion"/>
  </si>
  <si>
    <t>정영윤</t>
    <phoneticPr fontId="2" type="noConversion"/>
  </si>
  <si>
    <t>054-240-7207</t>
    <phoneticPr fontId="2" type="noConversion"/>
  </si>
  <si>
    <t>포항 구룡포 과메기 축제</t>
    <phoneticPr fontId="2" type="noConversion"/>
  </si>
  <si>
    <t>11월중(2일간)</t>
    <phoneticPr fontId="2" type="noConversion"/>
  </si>
  <si>
    <t>구룡포과메기사업협동조합</t>
    <phoneticPr fontId="2" type="noConversion"/>
  </si>
  <si>
    <t>포항 구룡포 과메기와 
함께하는 영일대 해맞이 행사</t>
    <phoneticPr fontId="2" type="noConversion"/>
  </si>
  <si>
    <t>2022.12.31~2023.1.1</t>
    <phoneticPr fontId="2" type="noConversion"/>
  </si>
  <si>
    <t>영일대 광장 일원</t>
    <phoneticPr fontId="2" type="noConversion"/>
  </si>
  <si>
    <t>호미곶한민족해맞이축전</t>
    <phoneticPr fontId="2" type="noConversion"/>
  </si>
  <si>
    <t>호미곶 해맞이광장</t>
    <phoneticPr fontId="2" type="noConversion"/>
  </si>
  <si>
    <t>1999년</t>
    <phoneticPr fontId="2" type="noConversion"/>
  </si>
  <si>
    <t>경주시</t>
    <phoneticPr fontId="2" type="noConversion"/>
  </si>
  <si>
    <t>2022 경주벚꽃축제</t>
    <phoneticPr fontId="2" type="noConversion"/>
  </si>
  <si>
    <t>관광</t>
    <phoneticPr fontId="2" type="noConversion"/>
  </si>
  <si>
    <t>4월경</t>
    <phoneticPr fontId="2" type="noConversion"/>
  </si>
  <si>
    <t>경주일원</t>
    <phoneticPr fontId="2" type="noConversion"/>
  </si>
  <si>
    <t>혼합</t>
    <phoneticPr fontId="2" type="noConversion"/>
  </si>
  <si>
    <t>경주문화재단</t>
    <phoneticPr fontId="2" type="noConversion"/>
  </si>
  <si>
    <t>경주문화재단 설립에 관한 조례</t>
    <phoneticPr fontId="2" type="noConversion"/>
  </si>
  <si>
    <t>이시안</t>
    <phoneticPr fontId="2" type="noConversion"/>
  </si>
  <si>
    <t>054-779-6078</t>
    <phoneticPr fontId="2" type="noConversion"/>
  </si>
  <si>
    <t>2022 제49회 신라문화제</t>
    <phoneticPr fontId="2" type="noConversion"/>
  </si>
  <si>
    <t>10월</t>
    <phoneticPr fontId="2" type="noConversion"/>
  </si>
  <si>
    <t>윤충진</t>
    <phoneticPr fontId="2" type="noConversion"/>
  </si>
  <si>
    <t>054-779-6073</t>
    <phoneticPr fontId="2" type="noConversion"/>
  </si>
  <si>
    <t>김천시</t>
    <phoneticPr fontId="2" type="noConversion"/>
  </si>
  <si>
    <t>제7회 수도산 목통령 고로쇠 축제</t>
    <phoneticPr fontId="2" type="noConversion"/>
  </si>
  <si>
    <t>3.20.~3.21.</t>
    <phoneticPr fontId="2" type="noConversion"/>
  </si>
  <si>
    <t>증산면행정복지센터</t>
    <phoneticPr fontId="2" type="noConversion"/>
  </si>
  <si>
    <t>2011년</t>
    <phoneticPr fontId="2" type="noConversion"/>
  </si>
  <si>
    <t>수도산목통령고로쇠영농조합법인</t>
    <phoneticPr fontId="2" type="noConversion"/>
  </si>
  <si>
    <t>김호권</t>
    <phoneticPr fontId="2" type="noConversion"/>
  </si>
  <si>
    <t>054-421-2292</t>
    <phoneticPr fontId="2" type="noConversion"/>
  </si>
  <si>
    <t>김천자두꽃축제</t>
    <phoneticPr fontId="2" type="noConversion"/>
  </si>
  <si>
    <t>4월초(2일)</t>
    <phoneticPr fontId="2" type="noConversion"/>
  </si>
  <si>
    <t>이화만리녹색농촌체험마을</t>
    <phoneticPr fontId="2" type="noConversion"/>
  </si>
  <si>
    <t>관공서</t>
    <phoneticPr fontId="2" type="noConversion"/>
  </si>
  <si>
    <t>농어업인삶의질법(제35조),도농교류법(제12조)</t>
    <phoneticPr fontId="2" type="noConversion"/>
  </si>
  <si>
    <t>이지연</t>
    <phoneticPr fontId="2" type="noConversion"/>
  </si>
  <si>
    <t>054-421-2532</t>
    <phoneticPr fontId="2" type="noConversion"/>
  </si>
  <si>
    <t>김천자두축제</t>
    <phoneticPr fontId="2" type="noConversion"/>
  </si>
  <si>
    <t>농특산물</t>
    <phoneticPr fontId="2" type="noConversion"/>
  </si>
  <si>
    <t>6월중(3일)</t>
    <phoneticPr fontId="2" type="noConversion"/>
  </si>
  <si>
    <t>부항댐</t>
    <phoneticPr fontId="2" type="noConversion"/>
  </si>
  <si>
    <t>2010년</t>
    <phoneticPr fontId="2" type="noConversion"/>
  </si>
  <si>
    <t>김천자두협회</t>
    <phoneticPr fontId="2" type="noConversion"/>
  </si>
  <si>
    <t>이인호</t>
    <phoneticPr fontId="2" type="noConversion"/>
  </si>
  <si>
    <t>054-421-2534</t>
    <phoneticPr fontId="2" type="noConversion"/>
  </si>
  <si>
    <t>김천포도축제</t>
    <phoneticPr fontId="2" type="noConversion"/>
  </si>
  <si>
    <t>10월중(3일)</t>
    <phoneticPr fontId="2" type="noConversion"/>
  </si>
  <si>
    <t>직지문화공원</t>
    <phoneticPr fontId="2" type="noConversion"/>
  </si>
  <si>
    <t>김천포도회</t>
    <phoneticPr fontId="2" type="noConversion"/>
  </si>
  <si>
    <t>농업인단체</t>
    <phoneticPr fontId="2" type="noConversion"/>
  </si>
  <si>
    <t>심은영</t>
    <phoneticPr fontId="2" type="noConversion"/>
  </si>
  <si>
    <t>054-421-2533</t>
    <phoneticPr fontId="2" type="noConversion"/>
  </si>
  <si>
    <t>농촌체험 페스티벌</t>
    <phoneticPr fontId="2" type="noConversion"/>
  </si>
  <si>
    <t>10월중순</t>
    <phoneticPr fontId="2" type="noConversion"/>
  </si>
  <si>
    <t>농업기술센터 테마공원</t>
    <phoneticPr fontId="2" type="noConversion"/>
  </si>
  <si>
    <t>054-421-2553</t>
    <phoneticPr fontId="2" type="noConversion"/>
  </si>
  <si>
    <t>안동시</t>
    <phoneticPr fontId="2" type="noConversion"/>
  </si>
  <si>
    <t>암산얼음축제</t>
    <phoneticPr fontId="2" type="noConversion"/>
  </si>
  <si>
    <t>남후면 광음리 암산유원지 일원</t>
    <phoneticPr fontId="2" type="noConversion"/>
  </si>
  <si>
    <t>한국정신
문화재단</t>
    <phoneticPr fontId="2" type="noConversion"/>
  </si>
  <si>
    <t>한국정신문화재단 설립 및 지원에 관한 조례(2014년)</t>
    <phoneticPr fontId="2" type="noConversion"/>
  </si>
  <si>
    <t>권두혁</t>
    <phoneticPr fontId="2" type="noConversion"/>
  </si>
  <si>
    <t>054-840-5514</t>
    <phoneticPr fontId="2" type="noConversion"/>
  </si>
  <si>
    <t>안동벚꽃축제</t>
    <phoneticPr fontId="2" type="noConversion"/>
  </si>
  <si>
    <t>4월초
(벚꽃개화시기에 따라 조정)</t>
    <phoneticPr fontId="2" type="noConversion"/>
  </si>
  <si>
    <t>낙동강변 벚꽃도로
(예정)</t>
    <phoneticPr fontId="2" type="noConversion"/>
  </si>
  <si>
    <t>썸머페스티벌</t>
    <phoneticPr fontId="2" type="noConversion"/>
  </si>
  <si>
    <t>7월 ~ 8월중</t>
    <phoneticPr fontId="2" type="noConversion"/>
  </si>
  <si>
    <t>낙동강 둔치 일원(예정)</t>
    <phoneticPr fontId="2" type="noConversion"/>
  </si>
  <si>
    <t>2022
(신규)</t>
    <phoneticPr fontId="2" type="noConversion"/>
  </si>
  <si>
    <t>2022년 문화재 야행
(월영야행)</t>
    <phoneticPr fontId="2" type="noConversion"/>
  </si>
  <si>
    <t>7월 ~ 8월 중
(4일간)</t>
    <phoneticPr fontId="2" type="noConversion"/>
  </si>
  <si>
    <t>월영교 
일원</t>
    <phoneticPr fontId="2" type="noConversion"/>
  </si>
  <si>
    <t>문화재청</t>
    <phoneticPr fontId="2" type="noConversion"/>
  </si>
  <si>
    <t>054-840-5231</t>
    <phoneticPr fontId="2" type="noConversion"/>
  </si>
  <si>
    <t>안동국제탈춤페스티벌</t>
    <phoneticPr fontId="2" type="noConversion"/>
  </si>
  <si>
    <t>9. 30. ~ 10. 9.</t>
    <phoneticPr fontId="2" type="noConversion"/>
  </si>
  <si>
    <t>탈춤공원 등 안동시 일원</t>
    <phoneticPr fontId="2" type="noConversion"/>
  </si>
  <si>
    <t>박선영</t>
    <phoneticPr fontId="2" type="noConversion"/>
  </si>
  <si>
    <t>054-840-5511</t>
    <phoneticPr fontId="2" type="noConversion"/>
  </si>
  <si>
    <t>구미시</t>
  </si>
  <si>
    <t>2022 청춘, 금오천 2.4km</t>
  </si>
  <si>
    <t>4.1.~4.2.</t>
  </si>
  <si>
    <t>금오천일원</t>
  </si>
  <si>
    <t>공모단체</t>
  </si>
  <si>
    <t>장세화</t>
  </si>
  <si>
    <t>054-480-6612</t>
  </si>
  <si>
    <t>2022년 레저스포츠 페스티벌</t>
  </si>
  <si>
    <t>9~10월 중 3일</t>
  </si>
  <si>
    <t>낙동강체육공원</t>
  </si>
  <si>
    <t>2019년</t>
  </si>
  <si>
    <t>국민체육진흥공단</t>
  </si>
  <si>
    <t>이지희</t>
  </si>
  <si>
    <t>054-480-5032</t>
  </si>
  <si>
    <t>라면캠핑페스테벌</t>
  </si>
  <si>
    <t>7~8월</t>
  </si>
  <si>
    <t>신규</t>
  </si>
  <si>
    <t>이선영</t>
  </si>
  <si>
    <t>054-480-2652</t>
  </si>
  <si>
    <t>제2회 농업한마당대축제</t>
  </si>
  <si>
    <t xml:space="preserve"> 특산물, 주민화합</t>
    <phoneticPr fontId="2" type="noConversion"/>
  </si>
  <si>
    <t>10월중
(기간 중 5일)</t>
  </si>
  <si>
    <t>구미시
(농업정책과)</t>
  </si>
  <si>
    <t>공무원</t>
  </si>
  <si>
    <t>최원준</t>
  </si>
  <si>
    <t>054-480-5762</t>
  </si>
  <si>
    <t>영주시</t>
    <phoneticPr fontId="2" type="noConversion"/>
  </si>
  <si>
    <t>경북영주풍기인삼축제</t>
    <phoneticPr fontId="2" type="noConversion"/>
  </si>
  <si>
    <t>풍기읍남원천</t>
    <phoneticPr fontId="2" type="noConversion"/>
  </si>
  <si>
    <t>영주풍기인삼축제
조직위원회</t>
    <phoneticPr fontId="2" type="noConversion"/>
  </si>
  <si>
    <t>임형주</t>
    <phoneticPr fontId="2" type="noConversion"/>
  </si>
  <si>
    <t>한국선비문화축제</t>
    <phoneticPr fontId="2" type="noConversion"/>
  </si>
  <si>
    <t>순흥면 선비촌</t>
    <phoneticPr fontId="2" type="noConversion"/>
  </si>
  <si>
    <t>2001년</t>
    <phoneticPr fontId="2" type="noConversion"/>
  </si>
  <si>
    <t>영주문화관광재단</t>
    <phoneticPr fontId="2" type="noConversion"/>
  </si>
  <si>
    <t>영주문화관광재단 설립에 관한 조례(2016년)</t>
    <phoneticPr fontId="2" type="noConversion"/>
  </si>
  <si>
    <t>소백산철쭉제</t>
    <phoneticPr fontId="2" type="noConversion"/>
  </si>
  <si>
    <t>소백산</t>
    <phoneticPr fontId="2" type="noConversion"/>
  </si>
  <si>
    <t>1990년</t>
    <phoneticPr fontId="2" type="noConversion"/>
  </si>
  <si>
    <t>영주사과축제</t>
    <phoneticPr fontId="2" type="noConversion"/>
  </si>
  <si>
    <t>10월말</t>
    <phoneticPr fontId="2" type="noConversion"/>
  </si>
  <si>
    <t>부석사</t>
    <phoneticPr fontId="2" type="noConversion"/>
  </si>
  <si>
    <t>2015년</t>
    <phoneticPr fontId="2" type="noConversion"/>
  </si>
  <si>
    <t>무섬외나무다리축제</t>
    <phoneticPr fontId="2" type="noConversion"/>
  </si>
  <si>
    <t>문수면 무섬마을</t>
    <phoneticPr fontId="2" type="noConversion"/>
  </si>
  <si>
    <t>영천시</t>
    <phoneticPr fontId="2" type="noConversion"/>
  </si>
  <si>
    <t>제19회 영천보현산별빛축제</t>
    <phoneticPr fontId="2" type="noConversion"/>
  </si>
  <si>
    <t>보현산천문과학관 일원</t>
    <phoneticPr fontId="2" type="noConversion"/>
  </si>
  <si>
    <t>204,921
(온라인)</t>
    <phoneticPr fontId="2" type="noConversion"/>
  </si>
  <si>
    <t>영천보현산별빛축제위원회</t>
    <phoneticPr fontId="2" type="noConversion"/>
  </si>
  <si>
    <t>위원회
(비상설)</t>
    <phoneticPr fontId="2" type="noConversion"/>
  </si>
  <si>
    <t>영천시관광진흥조례</t>
    <phoneticPr fontId="2" type="noConversion"/>
  </si>
  <si>
    <t>김정화</t>
    <phoneticPr fontId="2" type="noConversion"/>
  </si>
  <si>
    <t>054-330-6702</t>
    <phoneticPr fontId="2" type="noConversion"/>
  </si>
  <si>
    <t>제48회 영천문화예술제</t>
  </si>
  <si>
    <t>영천문화예술제추진위원회</t>
  </si>
  <si>
    <t>영천시 문화예술 진흥 및 지원에 관한 조례</t>
  </si>
  <si>
    <t>김소영</t>
  </si>
  <si>
    <t>054-330-6365</t>
  </si>
  <si>
    <t>제20회 영천한약축제</t>
    <phoneticPr fontId="2" type="noConversion"/>
  </si>
  <si>
    <t>영천한의마을</t>
  </si>
  <si>
    <t>미개최</t>
  </si>
  <si>
    <t>영천한방산업발전협의회</t>
  </si>
  <si>
    <t>영천시 농어업·농어촌 및 식품산업 지원에 관한 조례</t>
  </si>
  <si>
    <t>하혜민</t>
  </si>
  <si>
    <t>054-339-7282</t>
  </si>
  <si>
    <t>제21회 영천과일축제</t>
    <phoneticPr fontId="2" type="noConversion"/>
  </si>
  <si>
    <t>영천과일축제추진위원회</t>
  </si>
  <si>
    <t>최지은</t>
    <phoneticPr fontId="2" type="noConversion"/>
  </si>
  <si>
    <t>054-339-7184</t>
    <phoneticPr fontId="2" type="noConversion"/>
  </si>
  <si>
    <t>제10회 영천와인페스타</t>
    <phoneticPr fontId="2" type="noConversion"/>
  </si>
  <si>
    <t>영천시농업기술센터</t>
  </si>
  <si>
    <t>(사)영천와인사업단</t>
  </si>
  <si>
    <t>장서희</t>
  </si>
  <si>
    <t>054-339-7398</t>
  </si>
  <si>
    <t>상주시</t>
    <phoneticPr fontId="2" type="noConversion"/>
  </si>
  <si>
    <t>상주 경천섬 자전거 축제</t>
    <phoneticPr fontId="2" type="noConversion"/>
  </si>
  <si>
    <t>10.7.~10.9.</t>
    <phoneticPr fontId="2" type="noConversion"/>
  </si>
  <si>
    <t>경천섬 일원</t>
    <phoneticPr fontId="2" type="noConversion"/>
  </si>
  <si>
    <t>상주시축제
추진위원회</t>
    <phoneticPr fontId="2" type="noConversion"/>
  </si>
  <si>
    <t>상주시 축제추진위원회의
 설치 및 운영조례</t>
    <phoneticPr fontId="2" type="noConversion"/>
  </si>
  <si>
    <t>원혜성</t>
    <phoneticPr fontId="2" type="noConversion"/>
  </si>
  <si>
    <t>054-537-7108</t>
    <phoneticPr fontId="2" type="noConversion"/>
  </si>
  <si>
    <t>문경시</t>
    <phoneticPr fontId="14" type="noConversion"/>
  </si>
  <si>
    <t>문경찻사발축제</t>
    <phoneticPr fontId="14" type="noConversion"/>
  </si>
  <si>
    <t>문경새재도립공원 일원</t>
    <phoneticPr fontId="2" type="noConversion"/>
  </si>
  <si>
    <t>문경문화관광재단</t>
    <phoneticPr fontId="2" type="noConversion"/>
  </si>
  <si>
    <t>문경시 재단법인 문경문화관광재단 설립 및 지원에 관한 조례(2019년)</t>
    <phoneticPr fontId="2" type="noConversion"/>
  </si>
  <si>
    <t>구희대</t>
    <phoneticPr fontId="2" type="noConversion"/>
  </si>
  <si>
    <t>054-550-6395</t>
    <phoneticPr fontId="2" type="noConversion"/>
  </si>
  <si>
    <t>문경사과축제</t>
    <phoneticPr fontId="14" type="noConversion"/>
  </si>
  <si>
    <t>이나영</t>
    <phoneticPr fontId="2" type="noConversion"/>
  </si>
  <si>
    <t>054-550-6886</t>
    <phoneticPr fontId="2" type="noConversion"/>
  </si>
  <si>
    <t>문경오미자축제</t>
    <phoneticPr fontId="14" type="noConversion"/>
  </si>
  <si>
    <t>동로면 일원</t>
    <phoneticPr fontId="2" type="noConversion"/>
  </si>
  <si>
    <t>임문수</t>
    <phoneticPr fontId="2" type="noConversion"/>
  </si>
  <si>
    <t>054-550-6888</t>
    <phoneticPr fontId="2" type="noConversion"/>
  </si>
  <si>
    <t>약돌한우축제</t>
    <phoneticPr fontId="14" type="noConversion"/>
  </si>
  <si>
    <t>이동호</t>
    <phoneticPr fontId="2" type="noConversion"/>
  </si>
  <si>
    <t>054-550-6812</t>
    <phoneticPr fontId="2" type="noConversion"/>
  </si>
  <si>
    <t>전국락밴드 경연대회 및 수제맥주축제</t>
    <phoneticPr fontId="14" type="noConversion"/>
  </si>
  <si>
    <t>7~8월 중</t>
    <phoneticPr fontId="2" type="noConversion"/>
  </si>
  <si>
    <t>문경영강체육공원</t>
    <phoneticPr fontId="2" type="noConversion"/>
  </si>
  <si>
    <t>(사)한국예술문화단체총연합회 문경지회</t>
    <phoneticPr fontId="2" type="noConversion"/>
  </si>
  <si>
    <t>문화체육관광부 및 문화재청 소관 비영리 법인의 설립 및 감독에 관한 규칙</t>
    <phoneticPr fontId="2" type="noConversion"/>
  </si>
  <si>
    <t>고일석</t>
    <phoneticPr fontId="2" type="noConversion"/>
  </si>
  <si>
    <t>054-550-6067</t>
    <phoneticPr fontId="2" type="noConversion"/>
  </si>
  <si>
    <t>경산시</t>
    <phoneticPr fontId="2" type="noConversion"/>
  </si>
  <si>
    <t>경산자인단오제</t>
    <phoneticPr fontId="2" type="noConversion"/>
  </si>
  <si>
    <t>06.03.~06.05.</t>
    <phoneticPr fontId="2" type="noConversion"/>
  </si>
  <si>
    <t>경산자인의 계정숲</t>
    <phoneticPr fontId="2" type="noConversion"/>
  </si>
  <si>
    <t>1970년</t>
    <phoneticPr fontId="2" type="noConversion"/>
  </si>
  <si>
    <t>(사)국가무형문화재 경산자인단오제보존회</t>
    <phoneticPr fontId="2" type="noConversion"/>
  </si>
  <si>
    <t>문화체육관광부 및 문화재청 소관 비영리법인의 설립 및 감독에 관한 규칙</t>
    <phoneticPr fontId="2" type="noConversion"/>
  </si>
  <si>
    <t>장정현</t>
    <phoneticPr fontId="2" type="noConversion"/>
  </si>
  <si>
    <t>053-810-5357</t>
    <phoneticPr fontId="2" type="noConversion"/>
  </si>
  <si>
    <t>경산갓바위소원성취축제</t>
    <phoneticPr fontId="2" type="noConversion"/>
  </si>
  <si>
    <t>9~10월경(2일간)</t>
    <phoneticPr fontId="2" type="noConversion"/>
  </si>
  <si>
    <t>갓바위공영주차장</t>
    <phoneticPr fontId="2" type="noConversion"/>
  </si>
  <si>
    <t>갓바위축제추진위원회</t>
    <phoneticPr fontId="2" type="noConversion"/>
  </si>
  <si>
    <t>경산시</t>
  </si>
  <si>
    <t>제11회 경산대추축제</t>
  </si>
  <si>
    <t>경산생활체육공원</t>
  </si>
  <si>
    <t>2006년</t>
    <phoneticPr fontId="2" type="noConversion"/>
  </si>
  <si>
    <t>(사)한국농업경영인경산시연합회</t>
  </si>
  <si>
    <t>농림축산식품부장관 및 그 소속 청장 소관 비영리법인의 설립 및 감독에 관한 규칙</t>
  </si>
  <si>
    <t>정재기</t>
  </si>
  <si>
    <t>053-810-6707</t>
  </si>
  <si>
    <t>의성군</t>
    <phoneticPr fontId="2" type="noConversion"/>
  </si>
  <si>
    <t>제12회 의성세계하늘축제</t>
    <phoneticPr fontId="2" type="noConversion"/>
  </si>
  <si>
    <t>5월 중(2일간)</t>
    <phoneticPr fontId="2" type="noConversion"/>
  </si>
  <si>
    <t>위천생태공원</t>
    <phoneticPr fontId="2" type="noConversion"/>
  </si>
  <si>
    <t>의성세계하늘축제집행위원회</t>
    <phoneticPr fontId="2" type="noConversion"/>
  </si>
  <si>
    <t>의성군 축제 지원 및 운영 조례 시행규칙(2015년)</t>
    <phoneticPr fontId="2" type="noConversion"/>
  </si>
  <si>
    <t>김형진</t>
    <phoneticPr fontId="2" type="noConversion"/>
  </si>
  <si>
    <t>054-830-6578</t>
    <phoneticPr fontId="2" type="noConversion"/>
  </si>
  <si>
    <t>제5회 의성슈퍼푸드마늘축제</t>
    <phoneticPr fontId="2" type="noConversion"/>
  </si>
  <si>
    <t>의성읍 일원</t>
    <phoneticPr fontId="2" type="noConversion"/>
  </si>
  <si>
    <t>의성슈퍼푸드마늘축제집행위원회</t>
    <phoneticPr fontId="2" type="noConversion"/>
  </si>
  <si>
    <t>청송군</t>
    <phoneticPr fontId="2" type="noConversion"/>
  </si>
  <si>
    <t>제16회 청송사과축제</t>
    <phoneticPr fontId="2" type="noConversion"/>
  </si>
  <si>
    <t>11.2.~11.6.</t>
    <phoneticPr fontId="2" type="noConversion"/>
  </si>
  <si>
    <t>청송군 청송읍 용전천 현비아마 일원</t>
    <phoneticPr fontId="2" type="noConversion"/>
  </si>
  <si>
    <t>청송군축제추진위원회</t>
    <phoneticPr fontId="2" type="noConversion"/>
  </si>
  <si>
    <t>청송군 축제추진위원회 설치 및 운영 조례</t>
    <phoneticPr fontId="2" type="noConversion"/>
  </si>
  <si>
    <t>서향숙</t>
    <phoneticPr fontId="2" type="noConversion"/>
  </si>
  <si>
    <t>054-870-6237</t>
    <phoneticPr fontId="2" type="noConversion"/>
  </si>
  <si>
    <t>영양군</t>
    <phoneticPr fontId="2" type="noConversion"/>
  </si>
  <si>
    <t>제17회 영양산나물축제</t>
    <phoneticPr fontId="2" type="noConversion"/>
  </si>
  <si>
    <t>5월 초</t>
    <phoneticPr fontId="2" type="noConversion"/>
  </si>
  <si>
    <t>영양읍 일대</t>
    <phoneticPr fontId="2" type="noConversion"/>
  </si>
  <si>
    <t>영양축제관광재단</t>
    <phoneticPr fontId="2" type="noConversion"/>
  </si>
  <si>
    <t>영양군 재단법인 영양축제관광재단 설립 및 지원에 관한 조례(2015년)</t>
    <phoneticPr fontId="2" type="noConversion"/>
  </si>
  <si>
    <t>이관석</t>
    <phoneticPr fontId="2" type="noConversion"/>
  </si>
  <si>
    <t>054-680-6411</t>
    <phoneticPr fontId="2" type="noConversion"/>
  </si>
  <si>
    <t>제15회 영양고추 핫페스티벌</t>
    <phoneticPr fontId="2" type="noConversion"/>
  </si>
  <si>
    <t>서울광장</t>
    <phoneticPr fontId="2" type="noConversion"/>
  </si>
  <si>
    <t>김아람</t>
    <phoneticPr fontId="2" type="noConversion"/>
  </si>
  <si>
    <t>054-680-6381</t>
    <phoneticPr fontId="2" type="noConversion"/>
  </si>
  <si>
    <t>영덕군</t>
  </si>
  <si>
    <t>제25회 영덕대게축제</t>
  </si>
  <si>
    <t>12.24~12.31.</t>
  </si>
  <si>
    <t>영덕 해파랑공원</t>
  </si>
  <si>
    <t>영덕문화관광재단</t>
  </si>
  <si>
    <t>영덕문화관광재단 설립 및 운영에 관한 조례(2019년)</t>
  </si>
  <si>
    <t>신충식</t>
  </si>
  <si>
    <t>054-730-6393</t>
  </si>
  <si>
    <t>블루로드 축제</t>
  </si>
  <si>
    <t>5~6월</t>
  </si>
  <si>
    <t>축산항 일원</t>
  </si>
  <si>
    <t>유영일</t>
  </si>
  <si>
    <t>054-730-6233</t>
  </si>
  <si>
    <t>황금은어축제</t>
  </si>
  <si>
    <t>공연 및 체험행사</t>
  </si>
  <si>
    <t>영덕읍 오십천 둔치</t>
  </si>
  <si>
    <t>1999년</t>
  </si>
  <si>
    <t>은원식</t>
  </si>
  <si>
    <t>054-730-6756</t>
  </si>
  <si>
    <t>청도군</t>
    <phoneticPr fontId="14" type="noConversion"/>
  </si>
  <si>
    <t>청도소싸움축제</t>
    <phoneticPr fontId="14" type="noConversion"/>
  </si>
  <si>
    <t>5-6월</t>
    <phoneticPr fontId="14" type="noConversion"/>
  </si>
  <si>
    <t>청도소싸움경기장</t>
    <phoneticPr fontId="14" type="noConversion"/>
  </si>
  <si>
    <t>청도소싸움축제추진위원회</t>
    <phoneticPr fontId="2" type="noConversion"/>
  </si>
  <si>
    <t>해당없음</t>
    <phoneticPr fontId="2" type="noConversion"/>
  </si>
  <si>
    <t>구태현</t>
    <phoneticPr fontId="2" type="noConversion"/>
  </si>
  <si>
    <t>054-370-6376</t>
    <phoneticPr fontId="2" type="noConversion"/>
  </si>
  <si>
    <t>청도반시축제</t>
    <phoneticPr fontId="14" type="noConversion"/>
  </si>
  <si>
    <t>10.14.~10.16.</t>
    <phoneticPr fontId="14" type="noConversion"/>
  </si>
  <si>
    <t>청도야외공연장일원</t>
    <phoneticPr fontId="14" type="noConversion"/>
  </si>
  <si>
    <t>청도반시축제추진위원회</t>
    <phoneticPr fontId="2" type="noConversion"/>
  </si>
  <si>
    <t>청도세계코미디아트페스티벌</t>
    <phoneticPr fontId="14" type="noConversion"/>
  </si>
  <si>
    <t>청도군</t>
    <phoneticPr fontId="2" type="noConversion"/>
  </si>
  <si>
    <t>고령군</t>
    <phoneticPr fontId="2" type="noConversion"/>
  </si>
  <si>
    <t>대가야체험축제</t>
    <phoneticPr fontId="2" type="noConversion"/>
  </si>
  <si>
    <t>대가야생활촌 일원</t>
    <phoneticPr fontId="2" type="noConversion"/>
  </si>
  <si>
    <t>고령군관광협의회</t>
    <phoneticPr fontId="2" type="noConversion"/>
  </si>
  <si>
    <t>고령군 관광협의회 지원에 관한 조례(2016년)</t>
    <phoneticPr fontId="2" type="noConversion"/>
  </si>
  <si>
    <t>최상희</t>
    <phoneticPr fontId="2" type="noConversion"/>
  </si>
  <si>
    <t>054)950-6652</t>
    <phoneticPr fontId="2" type="noConversion"/>
  </si>
  <si>
    <t>칠곡군</t>
    <phoneticPr fontId="2" type="noConversion"/>
  </si>
  <si>
    <t>낙동강세계평화 문화
대축전</t>
    <phoneticPr fontId="14" type="noConversion"/>
  </si>
  <si>
    <t>문화예술</t>
    <phoneticPr fontId="14" type="noConversion"/>
  </si>
  <si>
    <t xml:space="preserve">9월 또는 10월 중 3일간
예정 </t>
    <phoneticPr fontId="14" type="noConversion"/>
  </si>
  <si>
    <t>칠곡보
생태공원
및 호국평화기념관 일원</t>
    <phoneticPr fontId="14" type="noConversion"/>
  </si>
  <si>
    <t>낙동강세계평화 문화 대축전 추진위원회</t>
    <phoneticPr fontId="14" type="noConversion"/>
  </si>
  <si>
    <t>칠곡군 축제추진위원회 설치 및 운영 조례</t>
    <phoneticPr fontId="2" type="noConversion"/>
  </si>
  <si>
    <t>이충열</t>
    <phoneticPr fontId="2" type="noConversion"/>
  </si>
  <si>
    <t>054-979-6087</t>
    <phoneticPr fontId="2" type="noConversion"/>
  </si>
  <si>
    <t>예천군</t>
    <phoneticPr fontId="2" type="noConversion"/>
  </si>
  <si>
    <t>예천장터농산물대축제</t>
    <phoneticPr fontId="2" type="noConversion"/>
  </si>
  <si>
    <t>예천읍</t>
    <phoneticPr fontId="2" type="noConversion"/>
  </si>
  <si>
    <t>예천농산물축제추진위원회</t>
    <phoneticPr fontId="2" type="noConversion"/>
  </si>
  <si>
    <t>강지훈</t>
    <phoneticPr fontId="2" type="noConversion"/>
  </si>
  <si>
    <t>054-650-6271</t>
    <phoneticPr fontId="2" type="noConversion"/>
  </si>
  <si>
    <t>예천용궁순대축제</t>
    <phoneticPr fontId="2" type="noConversion"/>
  </si>
  <si>
    <t>용궁면</t>
    <phoneticPr fontId="2" type="noConversion"/>
  </si>
  <si>
    <t>2012년</t>
    <phoneticPr fontId="2" type="noConversion"/>
  </si>
  <si>
    <t>예천용궁순대축제추진위원회</t>
    <phoneticPr fontId="2" type="noConversion"/>
  </si>
  <si>
    <t>천홍성</t>
    <phoneticPr fontId="2" type="noConversion"/>
  </si>
  <si>
    <t>054-650-6276</t>
    <phoneticPr fontId="2" type="noConversion"/>
  </si>
  <si>
    <t>2022 예천세계곤충엑스포</t>
    <phoneticPr fontId="2" type="noConversion"/>
  </si>
  <si>
    <t>곤충생태원 및 예천읍시가지</t>
    <phoneticPr fontId="2" type="noConversion"/>
  </si>
  <si>
    <t>2007년</t>
    <phoneticPr fontId="2" type="noConversion"/>
  </si>
  <si>
    <t>예천문화관광재단</t>
    <phoneticPr fontId="2" type="noConversion"/>
  </si>
  <si>
    <t>예천문화관광재단 설립 및 지원에 관한 조례(2020년)</t>
    <phoneticPr fontId="2" type="noConversion"/>
  </si>
  <si>
    <t>농림축산식품부</t>
    <phoneticPr fontId="2" type="noConversion"/>
  </si>
  <si>
    <t>조재익</t>
    <phoneticPr fontId="2" type="noConversion"/>
  </si>
  <si>
    <t>054-650-6031</t>
    <phoneticPr fontId="2" type="noConversion"/>
  </si>
  <si>
    <t>2022 삼강주막 나루터축제</t>
    <phoneticPr fontId="2" type="noConversion"/>
  </si>
  <si>
    <t>문화예술, 전통역사</t>
    <phoneticPr fontId="2" type="noConversion"/>
  </si>
  <si>
    <t>삼강주막 및 삼강문화단지 일원</t>
    <phoneticPr fontId="2" type="noConversion"/>
  </si>
  <si>
    <t>예천문화사업단</t>
    <phoneticPr fontId="2" type="noConversion"/>
  </si>
  <si>
    <t>주식회사</t>
    <phoneticPr fontId="2" type="noConversion"/>
  </si>
  <si>
    <t>이유민</t>
    <phoneticPr fontId="2" type="noConversion"/>
  </si>
  <si>
    <t>054-650-6902</t>
    <phoneticPr fontId="2" type="noConversion"/>
  </si>
  <si>
    <t>봉화군</t>
    <phoneticPr fontId="14" type="noConversion"/>
  </si>
  <si>
    <t>제24회 봉화은어축제</t>
    <phoneticPr fontId="14" type="noConversion"/>
  </si>
  <si>
    <t>07월말~08월초
(9일간)</t>
    <phoneticPr fontId="14" type="noConversion"/>
  </si>
  <si>
    <t>관내 하천 및 주요 관광지</t>
    <phoneticPr fontId="14" type="noConversion"/>
  </si>
  <si>
    <t>1999년</t>
    <phoneticPr fontId="14" type="noConversion"/>
  </si>
  <si>
    <t>온라인개최</t>
    <phoneticPr fontId="2" type="noConversion"/>
  </si>
  <si>
    <t>봉화축제관광재단</t>
    <phoneticPr fontId="2" type="noConversion"/>
  </si>
  <si>
    <t xml:space="preserve"> 
재단법인
 </t>
    <phoneticPr fontId="14" type="noConversion"/>
  </si>
  <si>
    <t>봉화군 재단법인 봉화축제관광재단 설립 및 지원에 관한 조례(2019)</t>
    <phoneticPr fontId="2" type="noConversion"/>
  </si>
  <si>
    <t>박지원</t>
    <phoneticPr fontId="2" type="noConversion"/>
  </si>
  <si>
    <t>054-679-6343</t>
    <phoneticPr fontId="2" type="noConversion"/>
  </si>
  <si>
    <t>제26회 봉화송이축제</t>
    <phoneticPr fontId="14" type="noConversion"/>
  </si>
  <si>
    <t>08월말~09월초
(4일간)</t>
    <phoneticPr fontId="14" type="noConversion"/>
  </si>
  <si>
    <t>1997년</t>
    <phoneticPr fontId="14" type="noConversion"/>
  </si>
  <si>
    <t>시장애 불금축제</t>
    <phoneticPr fontId="14" type="noConversion"/>
  </si>
  <si>
    <t>05월~09월
(150일간)</t>
    <phoneticPr fontId="14" type="noConversion"/>
  </si>
  <si>
    <t>관내 주요시장</t>
    <phoneticPr fontId="14" type="noConversion"/>
  </si>
  <si>
    <t>2019년</t>
    <phoneticPr fontId="14" type="noConversion"/>
  </si>
  <si>
    <t>2021-2022 
분천산타마을 운영</t>
    <phoneticPr fontId="14" type="noConversion"/>
  </si>
  <si>
    <t>07월~08월
(30일간)
12월~02월
(60일간)</t>
    <phoneticPr fontId="14" type="noConversion"/>
  </si>
  <si>
    <t>분천역 일원</t>
    <phoneticPr fontId="14" type="noConversion"/>
  </si>
  <si>
    <t>2014년</t>
    <phoneticPr fontId="14" type="noConversion"/>
  </si>
  <si>
    <t>울진군</t>
    <phoneticPr fontId="2" type="noConversion"/>
  </si>
  <si>
    <t>2022년 울진대게와붉은대게축제</t>
    <phoneticPr fontId="2" type="noConversion"/>
  </si>
  <si>
    <t>2월말~3월초</t>
    <phoneticPr fontId="2" type="noConversion"/>
  </si>
  <si>
    <t>후포한마음광장</t>
    <phoneticPr fontId="2" type="noConversion"/>
  </si>
  <si>
    <t>울진군축제발전위원회</t>
    <phoneticPr fontId="2" type="noConversion"/>
  </si>
  <si>
    <t>울진군 축제발전위원회의 설치 및 운영 조례</t>
    <phoneticPr fontId="2" type="noConversion"/>
  </si>
  <si>
    <t>손용락</t>
    <phoneticPr fontId="2" type="noConversion"/>
  </si>
  <si>
    <t>054-789-6851</t>
    <phoneticPr fontId="2" type="noConversion"/>
  </si>
  <si>
    <t>울진금강송송이축제</t>
    <phoneticPr fontId="2" type="noConversion"/>
  </si>
  <si>
    <t>9월말~10월초</t>
    <phoneticPr fontId="2" type="noConversion"/>
  </si>
  <si>
    <t>왕피천공원</t>
    <phoneticPr fontId="2" type="noConversion"/>
  </si>
  <si>
    <t>정호림</t>
    <phoneticPr fontId="2" type="noConversion"/>
  </si>
  <si>
    <t>054-789-6820</t>
    <phoneticPr fontId="2" type="noConversion"/>
  </si>
  <si>
    <t>죽변항 수산물 축제</t>
    <phoneticPr fontId="2" type="noConversion"/>
  </si>
  <si>
    <t>12월 중순</t>
    <phoneticPr fontId="2" type="noConversion"/>
  </si>
  <si>
    <t>죽변항</t>
    <phoneticPr fontId="2" type="noConversion"/>
  </si>
  <si>
    <t>울릉군</t>
    <phoneticPr fontId="2" type="noConversion"/>
  </si>
  <si>
    <t>제20회 울릉오징어축제</t>
    <phoneticPr fontId="2" type="noConversion"/>
  </si>
  <si>
    <t>울릉군 저동항 일원</t>
    <phoneticPr fontId="2" type="noConversion"/>
  </si>
  <si>
    <t>울릉군축제위원회</t>
    <phoneticPr fontId="2" type="noConversion"/>
  </si>
  <si>
    <t>울릉군 축제 육성 및 지원에 관한 조례(2015년)</t>
    <phoneticPr fontId="2" type="noConversion"/>
  </si>
  <si>
    <t>오서영</t>
    <phoneticPr fontId="2" type="noConversion"/>
  </si>
  <si>
    <t>054-790-6426</t>
    <phoneticPr fontId="2" type="noConversion"/>
  </si>
  <si>
    <t>강원도</t>
    <phoneticPr fontId="2" type="noConversion"/>
  </si>
  <si>
    <t>춘천시</t>
    <phoneticPr fontId="2" type="noConversion"/>
  </si>
  <si>
    <t>토이페스티벌</t>
    <phoneticPr fontId="2" type="noConversion"/>
  </si>
  <si>
    <t>22. 6~7월</t>
    <phoneticPr fontId="2" type="noConversion"/>
  </si>
  <si>
    <t>애니메이션 박물관 일원</t>
    <phoneticPr fontId="2" type="noConversion"/>
  </si>
  <si>
    <t>11,640명</t>
    <phoneticPr fontId="2" type="noConversion"/>
  </si>
  <si>
    <t>강원정보문화진흥원</t>
    <phoneticPr fontId="2" type="noConversion"/>
  </si>
  <si>
    <t xml:space="preserve">춘천시 재단법인 강원정보문화진흥원 설립 및 지원 조례 </t>
    <phoneticPr fontId="2" type="noConversion"/>
  </si>
  <si>
    <t>이세현</t>
    <phoneticPr fontId="2" type="noConversion"/>
  </si>
  <si>
    <t>033-250-3072</t>
    <phoneticPr fontId="2" type="noConversion"/>
  </si>
  <si>
    <t>막국수닭갈비축제</t>
    <phoneticPr fontId="2" type="noConversion"/>
  </si>
  <si>
    <t>22. 6~9월</t>
    <phoneticPr fontId="2" type="noConversion"/>
  </si>
  <si>
    <t>춘천막국수닭갈비축제조직위원회</t>
    <phoneticPr fontId="2" type="noConversion"/>
  </si>
  <si>
    <t>호수나라물빛축제</t>
    <phoneticPr fontId="2" type="noConversion"/>
  </si>
  <si>
    <t>22. 3월(예정)</t>
    <phoneticPr fontId="2" type="noConversion"/>
  </si>
  <si>
    <t>하중도일원</t>
    <phoneticPr fontId="2" type="noConversion"/>
  </si>
  <si>
    <t>개최예정</t>
    <phoneticPr fontId="2" type="noConversion"/>
  </si>
  <si>
    <t>춘천시 관광과</t>
    <phoneticPr fontId="2" type="noConversion"/>
  </si>
  <si>
    <t>제34회 춘천마임축제</t>
    <phoneticPr fontId="2" type="noConversion"/>
  </si>
  <si>
    <t xml:space="preserve">22. 5월 </t>
    <phoneticPr fontId="2" type="noConversion"/>
  </si>
  <si>
    <t>95,071명</t>
    <phoneticPr fontId="2" type="noConversion"/>
  </si>
  <si>
    <t>(사)춘천마임축제</t>
    <phoneticPr fontId="2" type="noConversion"/>
  </si>
  <si>
    <t>임다은</t>
    <phoneticPr fontId="2" type="noConversion"/>
  </si>
  <si>
    <t>033-250-3226</t>
    <phoneticPr fontId="2" type="noConversion"/>
  </si>
  <si>
    <t>제34회 춘천인형극제</t>
    <phoneticPr fontId="2" type="noConversion"/>
  </si>
  <si>
    <t>22. 3~12월</t>
    <phoneticPr fontId="2" type="noConversion"/>
  </si>
  <si>
    <t>춘천인형극장 일원</t>
    <phoneticPr fontId="2" type="noConversion"/>
  </si>
  <si>
    <t>10,000명</t>
    <phoneticPr fontId="2" type="noConversion"/>
  </si>
  <si>
    <t>(재)춘천인형극제</t>
    <phoneticPr fontId="2" type="noConversion"/>
  </si>
  <si>
    <t>안종명</t>
    <phoneticPr fontId="2" type="noConversion"/>
  </si>
  <si>
    <t>033-250-3067</t>
    <phoneticPr fontId="2" type="noConversion"/>
  </si>
  <si>
    <t>제24회 춘천연극제</t>
    <phoneticPr fontId="2" type="noConversion"/>
  </si>
  <si>
    <t>22. 5~8월</t>
    <phoneticPr fontId="2" type="noConversion"/>
  </si>
  <si>
    <t>관내 극장 및 야외 소공연장 등</t>
    <phoneticPr fontId="2" type="noConversion"/>
  </si>
  <si>
    <t>39,000명</t>
    <phoneticPr fontId="2" type="noConversion"/>
  </si>
  <si>
    <t>(사)춘천연극제</t>
    <phoneticPr fontId="2" type="noConversion"/>
  </si>
  <si>
    <t>김지혜</t>
    <phoneticPr fontId="2" type="noConversion"/>
  </si>
  <si>
    <t>033-250-3447</t>
    <phoneticPr fontId="2" type="noConversion"/>
  </si>
  <si>
    <t>제29회 봄내예술제</t>
    <phoneticPr fontId="2" type="noConversion"/>
  </si>
  <si>
    <t>22. 5.1.~28.</t>
    <phoneticPr fontId="2" type="noConversion"/>
  </si>
  <si>
    <t>관내 공연장, 박물관, 시장, 공원 등</t>
    <phoneticPr fontId="2" type="noConversion"/>
  </si>
  <si>
    <t>1,000명</t>
    <phoneticPr fontId="2" type="noConversion"/>
  </si>
  <si>
    <t>(사)춘천예총</t>
    <phoneticPr fontId="2" type="noConversion"/>
  </si>
  <si>
    <t>이영균</t>
    <phoneticPr fontId="2" type="noConversion"/>
  </si>
  <si>
    <t>033-250-3592</t>
    <phoneticPr fontId="2" type="noConversion"/>
  </si>
  <si>
    <t>애니타운페스티벌</t>
    <phoneticPr fontId="2" type="noConversion"/>
  </si>
  <si>
    <t>22. 5~9월</t>
    <phoneticPr fontId="2" type="noConversion"/>
  </si>
  <si>
    <t>10,904명</t>
    <phoneticPr fontId="2" type="noConversion"/>
  </si>
  <si>
    <t>하여라</t>
    <phoneticPr fontId="2" type="noConversion"/>
  </si>
  <si>
    <t>033-250-4813</t>
    <phoneticPr fontId="2" type="noConversion"/>
  </si>
  <si>
    <t>원주시</t>
    <phoneticPr fontId="2" type="noConversion"/>
  </si>
  <si>
    <t>치악산왕발걸음축제</t>
    <phoneticPr fontId="2" type="noConversion"/>
  </si>
  <si>
    <t xml:space="preserve">22. 4월 </t>
    <phoneticPr fontId="2" type="noConversion"/>
  </si>
  <si>
    <t>치악산 둘레길3코스</t>
    <phoneticPr fontId="2" type="noConversion"/>
  </si>
  <si>
    <t>개최취소</t>
    <phoneticPr fontId="2" type="noConversion"/>
  </si>
  <si>
    <t>치악산왕발걸음축제추진위원회</t>
    <phoneticPr fontId="2" type="noConversion"/>
  </si>
  <si>
    <t>석진희</t>
    <phoneticPr fontId="2" type="noConversion"/>
  </si>
  <si>
    <t>033-737-5132</t>
    <phoneticPr fontId="2" type="noConversion"/>
  </si>
  <si>
    <t>한지문화제</t>
    <phoneticPr fontId="2" type="noConversion"/>
  </si>
  <si>
    <t>22. 5.5.~15.</t>
    <phoneticPr fontId="2" type="noConversion"/>
  </si>
  <si>
    <t>원주한지테마파크 및
 간현관광지 일원</t>
    <phoneticPr fontId="2" type="noConversion"/>
  </si>
  <si>
    <t>5,000명</t>
    <phoneticPr fontId="2" type="noConversion"/>
  </si>
  <si>
    <t>미집계</t>
  </si>
  <si>
    <t>원주한지개발원</t>
    <phoneticPr fontId="2" type="noConversion"/>
  </si>
  <si>
    <t>용수골꽃양귀비축제</t>
    <phoneticPr fontId="2" type="noConversion"/>
  </si>
  <si>
    <t>22. 5.25.~6.10.</t>
    <phoneticPr fontId="2" type="noConversion"/>
  </si>
  <si>
    <t>용수골꽃농장</t>
    <phoneticPr fontId="2" type="noConversion"/>
  </si>
  <si>
    <t>30,000명</t>
    <phoneticPr fontId="2" type="noConversion"/>
  </si>
  <si>
    <t>용수골꽃양귀비축제추진위원회</t>
    <phoneticPr fontId="2" type="noConversion"/>
  </si>
  <si>
    <t>장미축제</t>
    <phoneticPr fontId="2" type="noConversion"/>
  </si>
  <si>
    <t>장미공원</t>
    <phoneticPr fontId="2" type="noConversion"/>
  </si>
  <si>
    <t>장미축제위원회</t>
    <phoneticPr fontId="2" type="noConversion"/>
  </si>
  <si>
    <t>남한강축제</t>
    <phoneticPr fontId="2" type="noConversion"/>
  </si>
  <si>
    <t>22.6.4.~6.5.</t>
    <phoneticPr fontId="2" type="noConversion"/>
  </si>
  <si>
    <t>법천소공원</t>
    <phoneticPr fontId="2" type="noConversion"/>
  </si>
  <si>
    <t>남한강축제위원회</t>
    <phoneticPr fontId="2" type="noConversion"/>
  </si>
  <si>
    <t>치악산찰옥수수축제</t>
    <phoneticPr fontId="2" type="noConversion"/>
  </si>
  <si>
    <t xml:space="preserve">22. 7월 </t>
    <phoneticPr fontId="2" type="noConversion"/>
  </si>
  <si>
    <t>문막체육공원</t>
    <phoneticPr fontId="2" type="noConversion"/>
  </si>
  <si>
    <t>문막농업협동조합</t>
    <phoneticPr fontId="2" type="noConversion"/>
  </si>
  <si>
    <t>이인환</t>
    <phoneticPr fontId="2" type="noConversion"/>
  </si>
  <si>
    <t>033-737-4131</t>
    <phoneticPr fontId="2" type="noConversion"/>
  </si>
  <si>
    <t>치악산봉숭아축제</t>
    <phoneticPr fontId="2" type="noConversion"/>
  </si>
  <si>
    <t xml:space="preserve">22. 8월 </t>
    <phoneticPr fontId="2" type="noConversion"/>
  </si>
  <si>
    <t>댄싱공연장 일원</t>
    <phoneticPr fontId="2" type="noConversion"/>
  </si>
  <si>
    <t>치악산복숭아원주시협의회</t>
    <phoneticPr fontId="2" type="noConversion"/>
  </si>
  <si>
    <t>2022 대한민국 독서대전</t>
    <phoneticPr fontId="2" type="noConversion"/>
  </si>
  <si>
    <t xml:space="preserve"> 문화예술</t>
    <phoneticPr fontId="2" type="noConversion"/>
  </si>
  <si>
    <t>22. 9.23.~25.</t>
    <phoneticPr fontId="2" type="noConversion"/>
  </si>
  <si>
    <t>댄싱공연장 일원 등</t>
    <phoneticPr fontId="2" type="noConversion"/>
  </si>
  <si>
    <t>평생교육원 시립중앙 도서관</t>
    <phoneticPr fontId="2" type="noConversion"/>
  </si>
  <si>
    <t>김해영</t>
    <phoneticPr fontId="2" type="noConversion"/>
  </si>
  <si>
    <t>033-737-3813</t>
    <phoneticPr fontId="2" type="noConversion"/>
  </si>
  <si>
    <t>원주다이내믹댄싱카니발</t>
    <phoneticPr fontId="2" type="noConversion"/>
  </si>
  <si>
    <t>22. 9.28.~10.3.</t>
    <phoneticPr fontId="2" type="noConversion"/>
  </si>
  <si>
    <t>댄싱공연장 및 원일로 일원</t>
    <phoneticPr fontId="2" type="noConversion"/>
  </si>
  <si>
    <t>3,000명</t>
    <phoneticPr fontId="2" type="noConversion"/>
  </si>
  <si>
    <t>원주문화재단</t>
    <phoneticPr fontId="2" type="noConversion"/>
  </si>
  <si>
    <t>원주문화재단 설립 및 운영에 관한 조례</t>
    <phoneticPr fontId="2" type="noConversion"/>
  </si>
  <si>
    <t>원주삼토페스티벌</t>
    <phoneticPr fontId="2" type="noConversion"/>
  </si>
  <si>
    <t>22. 9.30.~10.3.</t>
    <phoneticPr fontId="2" type="noConversion"/>
  </si>
  <si>
    <t>농촌지도자원주시연합회</t>
    <phoneticPr fontId="2" type="noConversion"/>
  </si>
  <si>
    <t>최창순</t>
    <phoneticPr fontId="2" type="noConversion"/>
  </si>
  <si>
    <t>033-737-4155</t>
    <phoneticPr fontId="2" type="noConversion"/>
  </si>
  <si>
    <t>원주문화재야행</t>
    <phoneticPr fontId="2" type="noConversion"/>
  </si>
  <si>
    <t xml:space="preserve">22. 9월 </t>
    <phoneticPr fontId="2" type="noConversion"/>
  </si>
  <si>
    <t>강원감영 외</t>
    <phoneticPr fontId="2" type="noConversion"/>
  </si>
  <si>
    <t>23,000명</t>
    <phoneticPr fontId="2" type="noConversion"/>
  </si>
  <si>
    <t>200명</t>
    <phoneticPr fontId="2" type="noConversion"/>
  </si>
  <si>
    <t>원주문화원</t>
    <phoneticPr fontId="2" type="noConversion"/>
  </si>
  <si>
    <t>석병철</t>
    <phoneticPr fontId="2" type="noConversion"/>
  </si>
  <si>
    <t>033-737-2795</t>
    <phoneticPr fontId="2" type="noConversion"/>
  </si>
  <si>
    <t>치악산한우축제</t>
    <phoneticPr fontId="2" type="noConversion"/>
  </si>
  <si>
    <t xml:space="preserve">22. 10월 </t>
    <phoneticPr fontId="2" type="noConversion"/>
  </si>
  <si>
    <t>댄싱공연장 주차장</t>
    <phoneticPr fontId="2" type="noConversion"/>
  </si>
  <si>
    <t>농업기술센터 축산과</t>
    <phoneticPr fontId="2" type="noConversion"/>
  </si>
  <si>
    <t>이규성</t>
    <phoneticPr fontId="2" type="noConversion"/>
  </si>
  <si>
    <t>033-737-4195</t>
    <phoneticPr fontId="2" type="noConversion"/>
  </si>
  <si>
    <t>원주시 평생학습 대축제</t>
    <phoneticPr fontId="2" type="noConversion"/>
  </si>
  <si>
    <t>22. 10. 21.~22.</t>
    <phoneticPr fontId="2" type="noConversion"/>
  </si>
  <si>
    <t>치악예술관 일원</t>
    <phoneticPr fontId="2" type="noConversion"/>
  </si>
  <si>
    <t>원주시 평생교육원 학습관</t>
    <phoneticPr fontId="2" type="noConversion"/>
  </si>
  <si>
    <t>김혜숙</t>
    <phoneticPr fontId="2" type="noConversion"/>
  </si>
  <si>
    <t>033-737-3808</t>
    <phoneticPr fontId="2" type="noConversion"/>
  </si>
  <si>
    <t>원주그림책축제</t>
    <phoneticPr fontId="2" type="noConversion"/>
  </si>
  <si>
    <t>원주복합문화커뮤니티센터</t>
    <phoneticPr fontId="2" type="noConversion"/>
  </si>
  <si>
    <t>8,000명</t>
    <phoneticPr fontId="2" type="noConversion"/>
  </si>
  <si>
    <t>안재원</t>
    <phoneticPr fontId="2" type="noConversion"/>
  </si>
  <si>
    <t>033-737-2822</t>
    <phoneticPr fontId="2" type="noConversion"/>
  </si>
  <si>
    <t>치악산배축제</t>
    <phoneticPr fontId="2" type="noConversion"/>
  </si>
  <si>
    <t xml:space="preserve">22. 11월 </t>
    <phoneticPr fontId="2" type="noConversion"/>
  </si>
  <si>
    <t>원주원예농협 하나로마트광장</t>
    <phoneticPr fontId="2" type="noConversion"/>
  </si>
  <si>
    <t>치악산배원주시협의회</t>
    <phoneticPr fontId="2" type="noConversion"/>
  </si>
  <si>
    <t>강릉시</t>
  </si>
  <si>
    <t>강릉 해맞이 축제</t>
  </si>
  <si>
    <t>22. 12. 31.
~ 23. 1. 1.</t>
  </si>
  <si>
    <t>경포해변 중앙광장,
정동진 모래시계공원</t>
  </si>
  <si>
    <t>미상</t>
  </si>
  <si>
    <t>조성만</t>
  </si>
  <si>
    <t>033-640-5618</t>
  </si>
  <si>
    <t>강릉시</t>
    <phoneticPr fontId="2" type="noConversion"/>
  </si>
  <si>
    <t>경포벚꽃잔치</t>
    <phoneticPr fontId="2" type="noConversion"/>
  </si>
  <si>
    <t>22. 3월 말</t>
    <phoneticPr fontId="2" type="noConversion"/>
  </si>
  <si>
    <t>경포대 일원</t>
    <phoneticPr fontId="2" type="noConversion"/>
  </si>
  <si>
    <t>조성만</t>
    <phoneticPr fontId="2" type="noConversion"/>
  </si>
  <si>
    <t>033-640-5618</t>
    <phoneticPr fontId="2" type="noConversion"/>
  </si>
  <si>
    <t>강릉단오제</t>
  </si>
  <si>
    <t>22. 5 ~ 6월</t>
    <phoneticPr fontId="2" type="noConversion"/>
  </si>
  <si>
    <t>강릉단오전수교육관 및 
강릉시 일원</t>
    <phoneticPr fontId="2" type="noConversion"/>
  </si>
  <si>
    <t>공식홈페이지 유입수 25,000명
페이지뷰 50,000회</t>
    <phoneticPr fontId="2" type="noConversion"/>
  </si>
  <si>
    <t>(사)강릉단오제위원회</t>
  </si>
  <si>
    <t>원영실</t>
  </si>
  <si>
    <t>033-640-5580</t>
  </si>
  <si>
    <t>강릉특산음식 
홍보행사</t>
    <phoneticPr fontId="2" type="noConversion"/>
  </si>
  <si>
    <t>22. 5. 21.~22.</t>
    <phoneticPr fontId="2" type="noConversion"/>
  </si>
  <si>
    <t>경포호수 잔디광장 일원</t>
    <phoneticPr fontId="2" type="noConversion"/>
  </si>
  <si>
    <t>임남규</t>
    <phoneticPr fontId="2" type="noConversion"/>
  </si>
  <si>
    <t>033-660-3140</t>
    <phoneticPr fontId="2" type="noConversion"/>
  </si>
  <si>
    <t>경포수제맥주축제</t>
    <phoneticPr fontId="2" type="noConversion"/>
  </si>
  <si>
    <t>22. 7월 초</t>
    <phoneticPr fontId="2" type="noConversion"/>
  </si>
  <si>
    <t>경포해변 중앙광장</t>
    <phoneticPr fontId="2" type="noConversion"/>
  </si>
  <si>
    <t>경포비치비어페스티벌조직위원회</t>
    <phoneticPr fontId="2" type="noConversion"/>
  </si>
  <si>
    <t>경포 썸머페스티벌</t>
    <phoneticPr fontId="2" type="noConversion"/>
  </si>
  <si>
    <t>22. 8월 초</t>
    <phoneticPr fontId="2" type="noConversion"/>
  </si>
  <si>
    <t>주문진 해수욕장 페스티벌</t>
    <phoneticPr fontId="2" type="noConversion"/>
  </si>
  <si>
    <t>주문진 해수욕장</t>
    <phoneticPr fontId="2" type="noConversion"/>
  </si>
  <si>
    <t>주문진해변운영위원회</t>
    <phoneticPr fontId="2" type="noConversion"/>
  </si>
  <si>
    <t>주문진 오징어잡이 축제</t>
    <phoneticPr fontId="2" type="noConversion"/>
  </si>
  <si>
    <t>22. 10월 초</t>
    <phoneticPr fontId="2" type="noConversion"/>
  </si>
  <si>
    <t>주문진 물항장</t>
    <phoneticPr fontId="2" type="noConversion"/>
  </si>
  <si>
    <t>주문진청년회의소</t>
    <phoneticPr fontId="2" type="noConversion"/>
  </si>
  <si>
    <t>강릉커피축제</t>
  </si>
  <si>
    <t>22. 10. 6.~9.</t>
    <phoneticPr fontId="2" type="noConversion"/>
  </si>
  <si>
    <t>강릉아레나 및 강릉시 일원</t>
  </si>
  <si>
    <t>31,000명</t>
  </si>
  <si>
    <t>강릉문화재단</t>
  </si>
  <si>
    <t>강릉문화재단 설립 및 운영지원 조례</t>
    <phoneticPr fontId="2" type="noConversion"/>
  </si>
  <si>
    <t>이지윤</t>
  </si>
  <si>
    <t>033-640-5115</t>
  </si>
  <si>
    <t>강릉국제영화제</t>
  </si>
  <si>
    <t>22. 10~11월</t>
    <phoneticPr fontId="2" type="noConversion"/>
  </si>
  <si>
    <t>강릉아트센터, 
강릉대도호부관아, CGV 등</t>
    <phoneticPr fontId="2" type="noConversion"/>
  </si>
  <si>
    <t>8,299명</t>
  </si>
  <si>
    <t>강릉국제영화제 사무국</t>
  </si>
  <si>
    <t>심교진</t>
  </si>
  <si>
    <t>033-640-5117</t>
  </si>
  <si>
    <t>해양레포츠문화축제</t>
  </si>
  <si>
    <t>22. 9~10월</t>
    <phoneticPr fontId="2" type="noConversion"/>
  </si>
  <si>
    <t>경포, 사근진 해변</t>
    <phoneticPr fontId="2" type="noConversion"/>
  </si>
  <si>
    <t>박정빈</t>
    <phoneticPr fontId="2" type="noConversion"/>
  </si>
  <si>
    <t>033-640-5199</t>
    <phoneticPr fontId="2" type="noConversion"/>
  </si>
  <si>
    <t>동해시</t>
    <phoneticPr fontId="2" type="noConversion"/>
  </si>
  <si>
    <t>동해무릉제</t>
    <phoneticPr fontId="2" type="noConversion"/>
  </si>
  <si>
    <t>동해시 천곡동 일원</t>
    <phoneticPr fontId="2" type="noConversion"/>
  </si>
  <si>
    <t>150,000명</t>
    <phoneticPr fontId="2" type="noConversion"/>
  </si>
  <si>
    <t>동해문화관광재단</t>
    <phoneticPr fontId="2" type="noConversion"/>
  </si>
  <si>
    <t xml:space="preserve">동해시 문화관광재단 설립 및 운영에 관한 조례  </t>
    <phoneticPr fontId="2" type="noConversion"/>
  </si>
  <si>
    <t>심흥교</t>
    <phoneticPr fontId="2" type="noConversion"/>
  </si>
  <si>
    <t>033-539-8282</t>
    <phoneticPr fontId="2" type="noConversion"/>
  </si>
  <si>
    <t>제3회 송정막걸리축제</t>
    <phoneticPr fontId="2" type="noConversion"/>
  </si>
  <si>
    <t>22. 9월</t>
    <phoneticPr fontId="2" type="noConversion"/>
  </si>
  <si>
    <t>송정시장 일원</t>
    <phoneticPr fontId="2" type="noConversion"/>
  </si>
  <si>
    <t>500명</t>
    <phoneticPr fontId="2" type="noConversion"/>
  </si>
  <si>
    <t>50명</t>
    <phoneticPr fontId="2" type="noConversion"/>
  </si>
  <si>
    <t>송정막걸리축제
추진위원회</t>
    <phoneticPr fontId="2" type="noConversion"/>
  </si>
  <si>
    <t>장진건</t>
    <phoneticPr fontId="2" type="noConversion"/>
  </si>
  <si>
    <t>033-539-8014</t>
    <phoneticPr fontId="2" type="noConversion"/>
  </si>
  <si>
    <t>제3회 동해시 평생학습축제
(책문화 축제 병행 운영)</t>
    <phoneticPr fontId="2" type="noConversion"/>
  </si>
  <si>
    <t>22. 10월</t>
    <phoneticPr fontId="2" type="noConversion"/>
  </si>
  <si>
    <t>동해문화예술회관 일원</t>
    <phoneticPr fontId="2" type="noConversion"/>
  </si>
  <si>
    <t>4,800명</t>
    <phoneticPr fontId="2" type="noConversion"/>
  </si>
  <si>
    <t>공공
(시군구)</t>
    <phoneticPr fontId="14" type="noConversion"/>
  </si>
  <si>
    <t xml:space="preserve"> - 평생교육법 제5조, 제16조
- 동해시 평생교육 진흥조례 제12조 제6호</t>
    <phoneticPr fontId="2" type="noConversion"/>
  </si>
  <si>
    <t>이영주</t>
    <phoneticPr fontId="2" type="noConversion"/>
  </si>
  <si>
    <t>033-530-2471</t>
    <phoneticPr fontId="2" type="noConversion"/>
  </si>
  <si>
    <t>묵호등대 논골담길 축제</t>
    <phoneticPr fontId="2" type="noConversion"/>
  </si>
  <si>
    <t>문화관광</t>
    <phoneticPr fontId="2" type="noConversion"/>
  </si>
  <si>
    <t>22. 6월</t>
    <phoneticPr fontId="2" type="noConversion"/>
  </si>
  <si>
    <t>동해시 묵호등대 일원</t>
    <phoneticPr fontId="2" type="noConversion"/>
  </si>
  <si>
    <t>묵호동주민자치위원회</t>
    <phoneticPr fontId="2" type="noConversion"/>
  </si>
  <si>
    <t>동해시 주민자치회 시범실시 및 설치ㆍ운영에 관한 조례</t>
    <phoneticPr fontId="2" type="noConversion"/>
  </si>
  <si>
    <t>주정운</t>
    <phoneticPr fontId="2" type="noConversion"/>
  </si>
  <si>
    <t>033-539-8535</t>
    <phoneticPr fontId="2" type="noConversion"/>
  </si>
  <si>
    <t>태백시</t>
    <phoneticPr fontId="2" type="noConversion"/>
  </si>
  <si>
    <t>한강·낙동강 발원지축제</t>
    <phoneticPr fontId="2" type="noConversion"/>
  </si>
  <si>
    <t>22. 7~8월</t>
    <phoneticPr fontId="2" type="noConversion"/>
  </si>
  <si>
    <t>황지연못, 검룡소 등</t>
    <phoneticPr fontId="2" type="noConversion"/>
  </si>
  <si>
    <t>태백시문화재단</t>
    <phoneticPr fontId="2" type="noConversion"/>
  </si>
  <si>
    <t>태백시문화재단 설립 및 운영에 관한 조례</t>
    <phoneticPr fontId="2" type="noConversion"/>
  </si>
  <si>
    <t>윤호철</t>
    <phoneticPr fontId="2" type="noConversion"/>
  </si>
  <si>
    <t>033-553-6900</t>
    <phoneticPr fontId="2" type="noConversion"/>
  </si>
  <si>
    <t>태백제</t>
    <phoneticPr fontId="2" type="noConversion"/>
  </si>
  <si>
    <t>태백산, 태백종합경기장 등</t>
    <phoneticPr fontId="2" type="noConversion"/>
  </si>
  <si>
    <t>속초시</t>
    <phoneticPr fontId="2" type="noConversion"/>
  </si>
  <si>
    <t>속초 봄빛 축제 '청초누리'</t>
    <phoneticPr fontId="2" type="noConversion"/>
  </si>
  <si>
    <t>22. 4~5월</t>
    <phoneticPr fontId="2" type="noConversion"/>
  </si>
  <si>
    <t>청초호유원지 일원</t>
    <phoneticPr fontId="2" type="noConversion"/>
  </si>
  <si>
    <t>권혁민</t>
    <phoneticPr fontId="2" type="noConversion"/>
  </si>
  <si>
    <t>033-639-2545</t>
    <phoneticPr fontId="2" type="noConversion"/>
  </si>
  <si>
    <t>남북 실향민 문화 육성사업</t>
    <phoneticPr fontId="2" type="noConversion"/>
  </si>
  <si>
    <t>22. 5~6월</t>
    <phoneticPr fontId="2" type="noConversion"/>
  </si>
  <si>
    <t>청호동 아바이마을</t>
    <phoneticPr fontId="2" type="noConversion"/>
  </si>
  <si>
    <t>410
(미확정)</t>
    <phoneticPr fontId="2" type="noConversion"/>
  </si>
  <si>
    <t>속초문화재단</t>
    <phoneticPr fontId="2" type="noConversion"/>
  </si>
  <si>
    <t>속초문화재단 설립 및 운영에 관한 조례</t>
    <phoneticPr fontId="2" type="noConversion"/>
  </si>
  <si>
    <t>행정안전부</t>
    <phoneticPr fontId="2" type="noConversion"/>
  </si>
  <si>
    <t>이지현</t>
    <phoneticPr fontId="2" type="noConversion"/>
  </si>
  <si>
    <t>033-639-2255</t>
    <phoneticPr fontId="2" type="noConversion"/>
  </si>
  <si>
    <t>속초 썸머 페스티벌</t>
    <phoneticPr fontId="2" type="noConversion"/>
  </si>
  <si>
    <t>속초해수욕장 일원</t>
    <phoneticPr fontId="2" type="noConversion"/>
  </si>
  <si>
    <t>장사항 오징어 맨손잡기 축제</t>
    <phoneticPr fontId="2" type="noConversion"/>
  </si>
  <si>
    <t>22. 8월</t>
    <phoneticPr fontId="2" type="noConversion"/>
  </si>
  <si>
    <t>장사항 일원</t>
    <phoneticPr fontId="2" type="noConversion"/>
  </si>
  <si>
    <t>속초 빛 축제 '청초환희'</t>
    <phoneticPr fontId="2" type="noConversion"/>
  </si>
  <si>
    <t>제57회 설악문화제</t>
    <phoneticPr fontId="2" type="noConversion"/>
  </si>
  <si>
    <t>설악산, 시내 일원</t>
    <phoneticPr fontId="2" type="noConversion"/>
  </si>
  <si>
    <t>삼척시</t>
    <phoneticPr fontId="2" type="noConversion"/>
  </si>
  <si>
    <t>삼척정월대보름제</t>
  </si>
  <si>
    <t>22. 2.7~20.</t>
    <phoneticPr fontId="2" type="noConversion"/>
  </si>
  <si>
    <t>삼척 시내 및 오십천 둔치</t>
    <phoneticPr fontId="2" type="noConversion"/>
  </si>
  <si>
    <t>삼척정월대보름제위원회</t>
    <phoneticPr fontId="2" type="noConversion"/>
  </si>
  <si>
    <t>삼척정월대보름제 운영 조례</t>
    <phoneticPr fontId="2" type="noConversion"/>
  </si>
  <si>
    <t>유경하</t>
    <phoneticPr fontId="2" type="noConversion"/>
  </si>
  <si>
    <t>033-570-3226</t>
    <phoneticPr fontId="2" type="noConversion"/>
  </si>
  <si>
    <t>삼척 장미축제</t>
  </si>
  <si>
    <t>삼척장미공원</t>
    <phoneticPr fontId="2" type="noConversion"/>
  </si>
  <si>
    <t>삼척시(관광과)</t>
    <phoneticPr fontId="2" type="noConversion"/>
  </si>
  <si>
    <t>최종은</t>
    <phoneticPr fontId="2" type="noConversion"/>
  </si>
  <si>
    <t>033-570-3548</t>
    <phoneticPr fontId="2" type="noConversion"/>
  </si>
  <si>
    <t>삼척비치 썸 페스티벌</t>
  </si>
  <si>
    <t>삼척해변</t>
    <phoneticPr fontId="2" type="noConversion"/>
  </si>
  <si>
    <t>김동혁</t>
    <phoneticPr fontId="2" type="noConversion"/>
  </si>
  <si>
    <t>033-570-3544</t>
    <phoneticPr fontId="2" type="noConversion"/>
  </si>
  <si>
    <t>삼척동해왕이사부축제</t>
  </si>
  <si>
    <t>삼척문화예술회관 일원</t>
    <phoneticPr fontId="2" type="noConversion"/>
  </si>
  <si>
    <t>삼척동해왕이사부축제추진위원회</t>
    <phoneticPr fontId="2" type="noConversion"/>
  </si>
  <si>
    <t>삼척시 동해왕 이사부 선양사업 지원 조례</t>
    <phoneticPr fontId="2" type="noConversion"/>
  </si>
  <si>
    <t>박순영</t>
    <phoneticPr fontId="2" type="noConversion"/>
  </si>
  <si>
    <t>033-570-3844</t>
    <phoneticPr fontId="2" type="noConversion"/>
  </si>
  <si>
    <t>삼척해변 빛 축제</t>
  </si>
  <si>
    <t>22. 12월</t>
    <phoneticPr fontId="2" type="noConversion"/>
  </si>
  <si>
    <t>홍천군</t>
    <phoneticPr fontId="14" type="noConversion"/>
  </si>
  <si>
    <t>제4회 홍천산나물축제</t>
    <phoneticPr fontId="14" type="noConversion"/>
  </si>
  <si>
    <t>22. 4월말</t>
    <phoneticPr fontId="14" type="noConversion"/>
  </si>
  <si>
    <t>홍천시내 및 강변 일원</t>
    <phoneticPr fontId="2" type="noConversion"/>
  </si>
  <si>
    <t>홍천문화재단</t>
    <phoneticPr fontId="2" type="noConversion"/>
  </si>
  <si>
    <t>홍천문화재단 설립 및 운영에 관한 조례</t>
    <phoneticPr fontId="2" type="noConversion"/>
  </si>
  <si>
    <t>조운용</t>
    <phoneticPr fontId="2" type="noConversion"/>
  </si>
  <si>
    <t>033-430-2471</t>
    <phoneticPr fontId="2" type="noConversion"/>
  </si>
  <si>
    <t>제6회 홍천강 별빛음악 맥주축제</t>
    <phoneticPr fontId="14" type="noConversion"/>
  </si>
  <si>
    <t>22. 8월초</t>
    <phoneticPr fontId="14" type="noConversion"/>
  </si>
  <si>
    <t>제26회 홍천찰옥수수축제</t>
    <phoneticPr fontId="14" type="noConversion"/>
  </si>
  <si>
    <t>22. 7월말</t>
    <phoneticPr fontId="14" type="noConversion"/>
  </si>
  <si>
    <t>제20회 강원홍천 인삼한우 명품축제</t>
    <phoneticPr fontId="14" type="noConversion"/>
  </si>
  <si>
    <t>22. 10월초</t>
    <phoneticPr fontId="14" type="noConversion"/>
  </si>
  <si>
    <t>횡성군</t>
    <phoneticPr fontId="2" type="noConversion"/>
  </si>
  <si>
    <t>제11회 둔내고랭지토마토축제</t>
    <phoneticPr fontId="2" type="noConversion"/>
  </si>
  <si>
    <t>둔내종합체육공원 및 시가지 일원</t>
    <phoneticPr fontId="2" type="noConversion"/>
  </si>
  <si>
    <t>둔내고랭지토마토축제위원회</t>
    <phoneticPr fontId="2" type="noConversion"/>
  </si>
  <si>
    <t>민간조직</t>
    <phoneticPr fontId="2" type="noConversion"/>
  </si>
  <si>
    <t>횡성군 지역축제 지원에 관한 조례</t>
    <phoneticPr fontId="2" type="noConversion"/>
  </si>
  <si>
    <t>홍성헌</t>
    <phoneticPr fontId="2" type="noConversion"/>
  </si>
  <si>
    <t>033-340-5952</t>
    <phoneticPr fontId="2" type="noConversion"/>
  </si>
  <si>
    <t>제9회 횡성더덕축제</t>
    <phoneticPr fontId="2" type="noConversion"/>
  </si>
  <si>
    <t>청일면 유동리 1150 일원</t>
    <phoneticPr fontId="2" type="noConversion"/>
  </si>
  <si>
    <t>횡성더덕축제위원회</t>
    <phoneticPr fontId="2" type="noConversion"/>
  </si>
  <si>
    <t>제14회 안흥찐빵축제</t>
    <phoneticPr fontId="2" type="noConversion"/>
  </si>
  <si>
    <t>안흥찐빵마을 일원</t>
    <phoneticPr fontId="2" type="noConversion"/>
  </si>
  <si>
    <t>안흥찐빵축제위원회</t>
    <phoneticPr fontId="2" type="noConversion"/>
  </si>
  <si>
    <t>제3회 횡성호수길 축제</t>
    <phoneticPr fontId="2" type="noConversion"/>
  </si>
  <si>
    <t>22. 5월</t>
    <phoneticPr fontId="2" type="noConversion"/>
  </si>
  <si>
    <t>갑천면 망향의 동산 일원</t>
    <phoneticPr fontId="2" type="noConversion"/>
  </si>
  <si>
    <t>횡성호수길추진위원회</t>
    <phoneticPr fontId="2" type="noConversion"/>
  </si>
  <si>
    <t>제32회 횡성회다지소리 민속문화제</t>
    <phoneticPr fontId="2" type="noConversion"/>
  </si>
  <si>
    <t>22. 4월</t>
    <phoneticPr fontId="2" type="noConversion"/>
  </si>
  <si>
    <t>우천 정금민속관 일원</t>
    <phoneticPr fontId="2" type="noConversion"/>
  </si>
  <si>
    <t>횡성회다지소리민속문화제 위원회</t>
    <phoneticPr fontId="2" type="noConversion"/>
  </si>
  <si>
    <t>영월군</t>
    <phoneticPr fontId="2" type="noConversion"/>
  </si>
  <si>
    <t>단종문화제</t>
    <phoneticPr fontId="2" type="noConversion"/>
  </si>
  <si>
    <t>22. 4.22~24.</t>
    <phoneticPr fontId="2" type="noConversion"/>
  </si>
  <si>
    <t>장릉외</t>
    <phoneticPr fontId="2" type="noConversion"/>
  </si>
  <si>
    <t>180,000명</t>
    <phoneticPr fontId="2" type="noConversion"/>
  </si>
  <si>
    <t>영월문화재단</t>
    <phoneticPr fontId="2" type="noConversion"/>
  </si>
  <si>
    <t>영월문화재단 설립·운영 조례</t>
    <phoneticPr fontId="2" type="noConversion"/>
  </si>
  <si>
    <t>이아름</t>
    <phoneticPr fontId="2" type="noConversion"/>
  </si>
  <si>
    <t>033-370-2926</t>
    <phoneticPr fontId="2" type="noConversion"/>
  </si>
  <si>
    <t>동강국제사진제</t>
    <phoneticPr fontId="2" type="noConversion"/>
  </si>
  <si>
    <t>22. 7.1.~9.30.</t>
    <phoneticPr fontId="2" type="noConversion"/>
  </si>
  <si>
    <t>동강사진박물관</t>
    <phoneticPr fontId="2" type="noConversion"/>
  </si>
  <si>
    <t>100,000명</t>
    <phoneticPr fontId="2" type="noConversion"/>
  </si>
  <si>
    <t>동강뗏목축제</t>
    <phoneticPr fontId="2" type="noConversion"/>
  </si>
  <si>
    <t>22. 8.4~7.</t>
    <phoneticPr fontId="2" type="noConversion"/>
  </si>
  <si>
    <t>동강둔치</t>
    <phoneticPr fontId="2" type="noConversion"/>
  </si>
  <si>
    <t>김삿갓문화제</t>
    <phoneticPr fontId="2" type="noConversion"/>
  </si>
  <si>
    <t>22. 9.23~25.</t>
    <phoneticPr fontId="2" type="noConversion"/>
  </si>
  <si>
    <t>김삿갓문학관</t>
    <phoneticPr fontId="2" type="noConversion"/>
  </si>
  <si>
    <t>80,000명</t>
    <phoneticPr fontId="2" type="noConversion"/>
  </si>
  <si>
    <t>동강붉은메밀꽃축제</t>
    <phoneticPr fontId="2" type="noConversion"/>
  </si>
  <si>
    <t>22. 10.2~17.</t>
    <phoneticPr fontId="2" type="noConversion"/>
  </si>
  <si>
    <t>동강둔치(삼옥리)</t>
    <phoneticPr fontId="2" type="noConversion"/>
  </si>
  <si>
    <t>동강 먹골마을 협동조합</t>
    <phoneticPr fontId="2" type="noConversion"/>
  </si>
  <si>
    <t>평창군</t>
    <phoneticPr fontId="2" type="noConversion"/>
  </si>
  <si>
    <t>대관령눈꽃축제</t>
    <phoneticPr fontId="2" type="noConversion"/>
  </si>
  <si>
    <t>22. 1.21~30.</t>
    <phoneticPr fontId="2" type="noConversion"/>
  </si>
  <si>
    <t>평창군 대관령면 송천일원</t>
    <phoneticPr fontId="2" type="noConversion"/>
  </si>
  <si>
    <t>117,068명</t>
    <phoneticPr fontId="2" type="noConversion"/>
  </si>
  <si>
    <t>대관령면축제위원회</t>
    <phoneticPr fontId="2" type="noConversion"/>
  </si>
  <si>
    <t>평창군 축제 지원 조례</t>
    <phoneticPr fontId="2" type="noConversion"/>
  </si>
  <si>
    <t>이상규</t>
    <phoneticPr fontId="2" type="noConversion"/>
  </si>
  <si>
    <t>033-330-2712</t>
    <phoneticPr fontId="2" type="noConversion"/>
  </si>
  <si>
    <t>평창더위사냥축제</t>
    <phoneticPr fontId="2" type="noConversion"/>
  </si>
  <si>
    <t>평창군 대화면 땀띠공원 일원</t>
    <phoneticPr fontId="2" type="noConversion"/>
  </si>
  <si>
    <t>평창더위사냥축제위원회</t>
    <phoneticPr fontId="2" type="noConversion"/>
  </si>
  <si>
    <t>박유진</t>
    <phoneticPr fontId="2" type="noConversion"/>
  </si>
  <si>
    <t>033-330-2466</t>
    <phoneticPr fontId="2" type="noConversion"/>
  </si>
  <si>
    <t>계촌마을클래식거리축제</t>
    <phoneticPr fontId="2" type="noConversion"/>
  </si>
  <si>
    <t>평창군 방림면 계촌클래식마을 일원</t>
    <phoneticPr fontId="2" type="noConversion"/>
  </si>
  <si>
    <t>계촌클래식축제위원회</t>
    <phoneticPr fontId="2" type="noConversion"/>
  </si>
  <si>
    <t>박영균</t>
    <phoneticPr fontId="2" type="noConversion"/>
  </si>
  <si>
    <t>033-330-2541</t>
    <phoneticPr fontId="2" type="noConversion"/>
  </si>
  <si>
    <t>평창효석문화제</t>
    <phoneticPr fontId="2" type="noConversion"/>
  </si>
  <si>
    <t>평창군 봉평면 평창효석문화제 축제장 일원</t>
    <phoneticPr fontId="2" type="noConversion"/>
  </si>
  <si>
    <t>이효석문학선양회</t>
    <phoneticPr fontId="2" type="noConversion"/>
  </si>
  <si>
    <t>평창백일홍축제</t>
    <phoneticPr fontId="2" type="noConversion"/>
  </si>
  <si>
    <t>평창군 평창읍 평창백일홍축제장 일원</t>
    <phoneticPr fontId="2" type="noConversion"/>
  </si>
  <si>
    <t>평창백일홍축제위원회</t>
    <phoneticPr fontId="2" type="noConversion"/>
  </si>
  <si>
    <t>평창송어축제</t>
    <phoneticPr fontId="2" type="noConversion"/>
  </si>
  <si>
    <t>관광특산</t>
    <phoneticPr fontId="2" type="noConversion"/>
  </si>
  <si>
    <t>22. 12월~23. 1월</t>
    <phoneticPr fontId="2" type="noConversion"/>
  </si>
  <si>
    <t>평창군 진부면 오대천 일원</t>
    <phoneticPr fontId="2" type="noConversion"/>
  </si>
  <si>
    <t>평창송어축제위원회</t>
    <phoneticPr fontId="2" type="noConversion"/>
  </si>
  <si>
    <t>평창농악축제</t>
    <phoneticPr fontId="2" type="noConversion"/>
  </si>
  <si>
    <t>평창군 용평면 농악축제장 일원</t>
    <phoneticPr fontId="2" type="noConversion"/>
  </si>
  <si>
    <t>평창농악축제위원회</t>
    <phoneticPr fontId="2" type="noConversion"/>
  </si>
  <si>
    <t>제19회 평창대관령음악제</t>
    <phoneticPr fontId="2" type="noConversion"/>
  </si>
  <si>
    <t>22. 6.22.~7.23.</t>
    <phoneticPr fontId="2" type="noConversion"/>
  </si>
  <si>
    <t>평창군 대관령면 알펜시아 및 도내 일원</t>
    <phoneticPr fontId="2" type="noConversion"/>
  </si>
  <si>
    <t>5,015명</t>
    <phoneticPr fontId="2" type="noConversion"/>
  </si>
  <si>
    <t>강원문화재단</t>
    <phoneticPr fontId="2" type="noConversion"/>
  </si>
  <si>
    <t>강원문화재단 설립 및 운영에 관한 조례</t>
    <phoneticPr fontId="2" type="noConversion"/>
  </si>
  <si>
    <t>이소명</t>
    <phoneticPr fontId="2" type="noConversion"/>
  </si>
  <si>
    <t>033-330-2849</t>
    <phoneticPr fontId="2" type="noConversion"/>
  </si>
  <si>
    <t>제4회 평창국제평화영화제</t>
    <phoneticPr fontId="2" type="noConversion"/>
  </si>
  <si>
    <t>대관령면 일원</t>
    <phoneticPr fontId="2" type="noConversion"/>
  </si>
  <si>
    <t>11,814명</t>
    <phoneticPr fontId="2" type="noConversion"/>
  </si>
  <si>
    <t>평창국제평화영화제</t>
    <phoneticPr fontId="2" type="noConversion"/>
  </si>
  <si>
    <t>홍현주</t>
    <phoneticPr fontId="2" type="noConversion"/>
  </si>
  <si>
    <t>033-330-2348</t>
    <phoneticPr fontId="2" type="noConversion"/>
  </si>
  <si>
    <t>강원국제예술제 강원작가전</t>
    <phoneticPr fontId="2" type="noConversion"/>
  </si>
  <si>
    <t>평창군 일원</t>
    <phoneticPr fontId="2" type="noConversion"/>
  </si>
  <si>
    <t>이성근</t>
    <phoneticPr fontId="2" type="noConversion"/>
  </si>
  <si>
    <t>033-330-2550</t>
    <phoneticPr fontId="2" type="noConversion"/>
  </si>
  <si>
    <t>오대산 문화축전</t>
    <phoneticPr fontId="2" type="noConversion"/>
  </si>
  <si>
    <t>오대산 일원</t>
    <phoneticPr fontId="2" type="noConversion"/>
  </si>
  <si>
    <t>대한불교조계종 
제4교구 본사 월정사</t>
    <phoneticPr fontId="2" type="noConversion"/>
  </si>
  <si>
    <t>종교단체</t>
    <phoneticPr fontId="2" type="noConversion"/>
  </si>
  <si>
    <t>윤일구</t>
    <phoneticPr fontId="2" type="noConversion"/>
  </si>
  <si>
    <t>033-330-2722</t>
    <phoneticPr fontId="2" type="noConversion"/>
  </si>
  <si>
    <t>정선군</t>
    <phoneticPr fontId="14" type="noConversion"/>
  </si>
  <si>
    <t>함백산야생화축제</t>
    <phoneticPr fontId="14" type="noConversion"/>
  </si>
  <si>
    <t>함백산 만항재 일원</t>
    <phoneticPr fontId="2" type="noConversion"/>
  </si>
  <si>
    <t>함백산축제위원회</t>
    <phoneticPr fontId="2" type="noConversion"/>
  </si>
  <si>
    <t>정선아리랑제</t>
    <phoneticPr fontId="14" type="noConversion"/>
  </si>
  <si>
    <t>아리랑공원 일원</t>
    <phoneticPr fontId="2" type="noConversion"/>
  </si>
  <si>
    <t>정선아리랑문화재단</t>
    <phoneticPr fontId="2" type="noConversion"/>
  </si>
  <si>
    <t>정선아리랑문화재단 설립 및 운영에 관한 조례</t>
    <phoneticPr fontId="2" type="noConversion"/>
  </si>
  <si>
    <t>신남이</t>
    <phoneticPr fontId="2" type="noConversion"/>
  </si>
  <si>
    <t>033-560-2138</t>
    <phoneticPr fontId="2" type="noConversion"/>
  </si>
  <si>
    <t>정선사과축제</t>
    <phoneticPr fontId="14" type="noConversion"/>
  </si>
  <si>
    <t>22. 11월</t>
    <phoneticPr fontId="2" type="noConversion"/>
  </si>
  <si>
    <t>임계면 소재지 일원</t>
    <phoneticPr fontId="2" type="noConversion"/>
  </si>
  <si>
    <t>임계면문화체육위원회
임계사과연구회
임계면행정복지센터</t>
    <phoneticPr fontId="2" type="noConversion"/>
  </si>
  <si>
    <t>조대현</t>
    <phoneticPr fontId="2" type="noConversion"/>
  </si>
  <si>
    <t>033-560-2686</t>
    <phoneticPr fontId="2" type="noConversion"/>
  </si>
  <si>
    <t>철원군</t>
    <phoneticPr fontId="2" type="noConversion"/>
  </si>
  <si>
    <t>제40회 태봉제</t>
    <phoneticPr fontId="2" type="noConversion"/>
  </si>
  <si>
    <t>철원종합운동장</t>
    <phoneticPr fontId="2" type="noConversion"/>
  </si>
  <si>
    <t>철원문화재단</t>
    <phoneticPr fontId="2" type="noConversion"/>
  </si>
  <si>
    <t>철원군 철원문화재단 설립 및 운영에 관한 조례</t>
    <phoneticPr fontId="2" type="noConversion"/>
  </si>
  <si>
    <t>박진샘</t>
    <phoneticPr fontId="2" type="noConversion"/>
  </si>
  <si>
    <t>033-450-4208</t>
    <phoneticPr fontId="2" type="noConversion"/>
  </si>
  <si>
    <t>제16회 철원 화강 다슬기 축제</t>
    <phoneticPr fontId="2" type="noConversion"/>
  </si>
  <si>
    <t>화강 쉬리공원</t>
    <phoneticPr fontId="2" type="noConversion"/>
  </si>
  <si>
    <t>이주용</t>
    <phoneticPr fontId="2" type="noConversion"/>
  </si>
  <si>
    <t>033-450-4781</t>
    <phoneticPr fontId="2" type="noConversion"/>
  </si>
  <si>
    <t>2022 철원오대쌀 축제</t>
    <phoneticPr fontId="2" type="noConversion"/>
  </si>
  <si>
    <t>22. 10.28~30.</t>
    <phoneticPr fontId="2" type="noConversion"/>
  </si>
  <si>
    <t>고석정 일원</t>
    <phoneticPr fontId="2" type="noConversion"/>
  </si>
  <si>
    <t>이기쁨</t>
    <phoneticPr fontId="2" type="noConversion"/>
  </si>
  <si>
    <t>033-450-4801</t>
    <phoneticPr fontId="2" type="noConversion"/>
  </si>
  <si>
    <t>세종대왕 강무행사 행차 재현</t>
    <phoneticPr fontId="2" type="noConversion"/>
  </si>
  <si>
    <t>고석정 꽃밭</t>
    <phoneticPr fontId="2" type="noConversion"/>
  </si>
  <si>
    <t>현재섭</t>
    <phoneticPr fontId="2" type="noConversion"/>
  </si>
  <si>
    <t>033-450-4228</t>
    <phoneticPr fontId="2" type="noConversion"/>
  </si>
  <si>
    <t xml:space="preserve">철원 DMZ 평화 꽃송이 축제 </t>
    <phoneticPr fontId="2" type="noConversion"/>
  </si>
  <si>
    <t>이정민</t>
    <phoneticPr fontId="2" type="noConversion"/>
  </si>
  <si>
    <t>033-450-4659</t>
    <phoneticPr fontId="2" type="noConversion"/>
  </si>
  <si>
    <t>화천군</t>
    <phoneticPr fontId="2" type="noConversion"/>
  </si>
  <si>
    <t>토마토축제</t>
    <phoneticPr fontId="2" type="noConversion"/>
  </si>
  <si>
    <t>22. 7월말~8월초</t>
    <phoneticPr fontId="2" type="noConversion"/>
  </si>
  <si>
    <t>사내면 문화광장 일원</t>
    <phoneticPr fontId="2" type="noConversion"/>
  </si>
  <si>
    <t xml:space="preserve"> </t>
    <phoneticPr fontId="2" type="noConversion"/>
  </si>
  <si>
    <t>이다혜</t>
    <phoneticPr fontId="2" type="noConversion"/>
  </si>
  <si>
    <t>033-440-2912</t>
    <phoneticPr fontId="2" type="noConversion"/>
  </si>
  <si>
    <t>물의나라화천 쪽배축제</t>
    <phoneticPr fontId="2" type="noConversion"/>
  </si>
  <si>
    <t>화천읍 붕어섬일원</t>
    <phoneticPr fontId="2" type="noConversion"/>
  </si>
  <si>
    <t>나라축제조직위원회</t>
    <phoneticPr fontId="2" type="noConversion"/>
  </si>
  <si>
    <t>민법 제32조, 문화체육관광부 및 문화재청 소관 비영리법인의 설립 및 감독에 관한 규칙 제4조</t>
    <phoneticPr fontId="2" type="noConversion"/>
  </si>
  <si>
    <t>이명숙</t>
    <phoneticPr fontId="2" type="noConversion"/>
  </si>
  <si>
    <t>033-440-2543</t>
    <phoneticPr fontId="2" type="noConversion"/>
  </si>
  <si>
    <t>양구군</t>
    <phoneticPr fontId="2" type="noConversion"/>
  </si>
  <si>
    <t>2022 양구 곰취축제</t>
    <phoneticPr fontId="2" type="noConversion"/>
  </si>
  <si>
    <t>22. 5.5~8.</t>
    <phoneticPr fontId="2" type="noConversion"/>
  </si>
  <si>
    <t>레포츠공원일원</t>
    <phoneticPr fontId="2" type="noConversion"/>
  </si>
  <si>
    <t>2,500명</t>
    <phoneticPr fontId="2" type="noConversion"/>
  </si>
  <si>
    <t>양구문화재단</t>
    <phoneticPr fontId="2" type="noConversion"/>
  </si>
  <si>
    <t>양구문화재단 설립 및 운영에 관한 조례</t>
    <phoneticPr fontId="2" type="noConversion"/>
  </si>
  <si>
    <t>백영기</t>
    <phoneticPr fontId="2" type="noConversion"/>
  </si>
  <si>
    <t>033-482-9173</t>
    <phoneticPr fontId="2" type="noConversion"/>
  </si>
  <si>
    <t>2022 제71주년 도솔산지구전투 전승행사</t>
    <phoneticPr fontId="2" type="noConversion"/>
  </si>
  <si>
    <t>22. 6.17~18.</t>
    <phoneticPr fontId="2" type="noConversion"/>
  </si>
  <si>
    <t>레포츠공원일원, 도솔산위령비</t>
    <phoneticPr fontId="2" type="noConversion"/>
  </si>
  <si>
    <t>100명</t>
    <phoneticPr fontId="2" type="noConversion"/>
  </si>
  <si>
    <t>2022 국토정중앙 양구 배꼽축제</t>
    <phoneticPr fontId="2" type="noConversion"/>
  </si>
  <si>
    <t>22. 9.2~4.</t>
    <phoneticPr fontId="2" type="noConversion"/>
  </si>
  <si>
    <t>제37회 양록제</t>
    <phoneticPr fontId="2" type="noConversion"/>
  </si>
  <si>
    <t>22. 10.6~8.</t>
    <phoneticPr fontId="2" type="noConversion"/>
  </si>
  <si>
    <t>양구종합운동장 일원</t>
    <phoneticPr fontId="2" type="noConversion"/>
  </si>
  <si>
    <t>2022 DMZ펀치볼 시래기 축제</t>
    <phoneticPr fontId="2" type="noConversion"/>
  </si>
  <si>
    <t>22. 10.29~30.</t>
    <phoneticPr fontId="2" type="noConversion"/>
  </si>
  <si>
    <t>양구군 해안면 복지회관일원</t>
    <phoneticPr fontId="2" type="noConversion"/>
  </si>
  <si>
    <t>인제군</t>
    <phoneticPr fontId="2" type="noConversion"/>
  </si>
  <si>
    <t>제4회 인제가을꽃축제</t>
    <phoneticPr fontId="2" type="noConversion"/>
  </si>
  <si>
    <t>인제군 북면 용대관광지</t>
    <phoneticPr fontId="2" type="noConversion"/>
  </si>
  <si>
    <t>50,164명</t>
    <phoneticPr fontId="2" type="noConversion"/>
  </si>
  <si>
    <t>인제군문화재단</t>
    <phoneticPr fontId="2" type="noConversion"/>
  </si>
  <si>
    <t>인제군문화재단 설립 및 운영에 관한 조례</t>
    <phoneticPr fontId="2" type="noConversion"/>
  </si>
  <si>
    <t>김유나</t>
    <phoneticPr fontId="2" type="noConversion"/>
  </si>
  <si>
    <t>033-460-2082</t>
    <phoneticPr fontId="2" type="noConversion"/>
  </si>
  <si>
    <t>제22회 용대황태축제</t>
    <phoneticPr fontId="2" type="noConversion"/>
  </si>
  <si>
    <t>인제군 북면 용대3거리 일원</t>
    <phoneticPr fontId="2" type="noConversion"/>
  </si>
  <si>
    <t>용대리황태축제추진위원회</t>
    <phoneticPr fontId="2" type="noConversion"/>
  </si>
  <si>
    <t>축제추진위</t>
    <phoneticPr fontId="2" type="noConversion"/>
  </si>
  <si>
    <t>제40회 합강문화제</t>
    <phoneticPr fontId="2" type="noConversion"/>
  </si>
  <si>
    <t>문화예술제</t>
    <phoneticPr fontId="2" type="noConversion"/>
  </si>
  <si>
    <t>인제군 일원</t>
    <phoneticPr fontId="2" type="noConversion"/>
  </si>
  <si>
    <t>합강문화제추진위원회</t>
    <phoneticPr fontId="2" type="noConversion"/>
  </si>
  <si>
    <t>이희성</t>
    <phoneticPr fontId="2" type="noConversion"/>
  </si>
  <si>
    <t>033-460-2081</t>
    <phoneticPr fontId="2" type="noConversion"/>
  </si>
  <si>
    <t>고성군</t>
    <phoneticPr fontId="2" type="noConversion"/>
  </si>
  <si>
    <t>동해안 최북단 저도어장 대문어축제</t>
    <phoneticPr fontId="2" type="noConversion"/>
  </si>
  <si>
    <t>현내면 대진항 일원</t>
    <phoneticPr fontId="2" type="noConversion"/>
  </si>
  <si>
    <t>대문어축제위원회</t>
  </si>
  <si>
    <t>고성군 지역축제 지원에 관한 조례</t>
    <phoneticPr fontId="2" type="noConversion"/>
  </si>
  <si>
    <t>최예랑</t>
    <phoneticPr fontId="2" type="noConversion"/>
  </si>
  <si>
    <t>033-680-3414</t>
    <phoneticPr fontId="2" type="noConversion"/>
  </si>
  <si>
    <t>삼포해변 서핑 축제
(미드나이트 피크닉 페스티벌)</t>
    <phoneticPr fontId="14" type="noConversion"/>
  </si>
  <si>
    <t>22. 7월</t>
    <phoneticPr fontId="2" type="noConversion"/>
  </si>
  <si>
    <t>죽왕면 삼포해변 일대</t>
    <phoneticPr fontId="2" type="noConversion"/>
  </si>
  <si>
    <t>별도조직 없음
/ 민간위탁[㈜위고온]</t>
    <phoneticPr fontId="14" type="noConversion"/>
  </si>
  <si>
    <t>고성군 지방보조금 관리 조례</t>
  </si>
  <si>
    <t>강혁</t>
    <phoneticPr fontId="2" type="noConversion"/>
  </si>
  <si>
    <t>033-680-3046</t>
    <phoneticPr fontId="2" type="noConversion"/>
  </si>
  <si>
    <t>해안선 레저스포츠 페스티벌</t>
    <phoneticPr fontId="14" type="noConversion"/>
  </si>
  <si>
    <t>죽왕면 봉수대 해변 일대</t>
    <phoneticPr fontId="2" type="noConversion"/>
  </si>
  <si>
    <t>별도조직 없음
/ 민간위탁(고성군 카누연맹)</t>
    <phoneticPr fontId="14" type="noConversion"/>
  </si>
  <si>
    <t>최현철</t>
    <phoneticPr fontId="2" type="noConversion"/>
  </si>
  <si>
    <t>033-680-3047</t>
    <phoneticPr fontId="2" type="noConversion"/>
  </si>
  <si>
    <t>고성군민의 날 및 수성문화제</t>
  </si>
  <si>
    <t>간성읍 고성종합운동장 일원</t>
    <phoneticPr fontId="2" type="noConversion"/>
  </si>
  <si>
    <t>수성문화제위원회</t>
    <phoneticPr fontId="2" type="noConversion"/>
  </si>
  <si>
    <t>고성군민의날 조례</t>
    <phoneticPr fontId="2" type="noConversion"/>
  </si>
  <si>
    <t>김성현</t>
    <phoneticPr fontId="2" type="noConversion"/>
  </si>
  <si>
    <t>033-680-3593</t>
    <phoneticPr fontId="2" type="noConversion"/>
  </si>
  <si>
    <t>고성통일명태축제</t>
    <phoneticPr fontId="14" type="noConversion"/>
  </si>
  <si>
    <t>거진읍 거진11리 해변</t>
    <phoneticPr fontId="2" type="noConversion"/>
  </si>
  <si>
    <t>명태축제위원회</t>
    <phoneticPr fontId="2" type="noConversion"/>
  </si>
  <si>
    <t>고성명태축제위원회 운영 조례</t>
    <phoneticPr fontId="2" type="noConversion"/>
  </si>
  <si>
    <t>2022년 대한민국 온천대축제</t>
    <phoneticPr fontId="14" type="noConversion"/>
  </si>
  <si>
    <t>토성면 원암리 온천지구 일대</t>
    <phoneticPr fontId="2" type="noConversion"/>
  </si>
  <si>
    <t>민·관 협의체 구성
(고성군, 온천이용시설)</t>
    <phoneticPr fontId="14" type="noConversion"/>
  </si>
  <si>
    <t>최문용</t>
    <phoneticPr fontId="2" type="noConversion"/>
  </si>
  <si>
    <t>033-680-3352</t>
    <phoneticPr fontId="2" type="noConversion"/>
  </si>
  <si>
    <t>양양군</t>
    <phoneticPr fontId="2" type="noConversion"/>
  </si>
  <si>
    <t>제44회 양양문화제</t>
    <phoneticPr fontId="2" type="noConversion"/>
  </si>
  <si>
    <t>남대천 둔치</t>
    <phoneticPr fontId="2" type="noConversion"/>
  </si>
  <si>
    <t>양양문화제위원회</t>
    <phoneticPr fontId="2" type="noConversion"/>
  </si>
  <si>
    <t>양양군 축제운영에 관한 조례</t>
    <phoneticPr fontId="2" type="noConversion"/>
  </si>
  <si>
    <t>홍승혜</t>
    <phoneticPr fontId="2" type="noConversion"/>
  </si>
  <si>
    <t>033-670-2795</t>
    <phoneticPr fontId="2" type="noConversion"/>
  </si>
  <si>
    <t>양양송이축제</t>
    <phoneticPr fontId="2" type="noConversion"/>
  </si>
  <si>
    <t>양양 남대천 둔치</t>
    <phoneticPr fontId="2" type="noConversion"/>
  </si>
  <si>
    <t>양양문화재단</t>
    <phoneticPr fontId="2" type="noConversion"/>
  </si>
  <si>
    <t>양양문화재단 설립 및 운영에 관한 조례</t>
    <phoneticPr fontId="2" type="noConversion"/>
  </si>
  <si>
    <t>송종표</t>
    <phoneticPr fontId="2" type="noConversion"/>
  </si>
  <si>
    <t>033-671-3803</t>
    <phoneticPr fontId="2" type="noConversion"/>
  </si>
  <si>
    <t>양양연어축제</t>
    <phoneticPr fontId="2" type="noConversion"/>
  </si>
  <si>
    <t>전선영</t>
    <phoneticPr fontId="2" type="noConversion"/>
  </si>
  <si>
    <t>033-671-7802</t>
    <phoneticPr fontId="2" type="noConversion"/>
  </si>
  <si>
    <t>양양해맞이축제</t>
    <phoneticPr fontId="2" type="noConversion"/>
  </si>
  <si>
    <t>22. 12. 31. ~ 23. 1. 1.</t>
    <phoneticPr fontId="2" type="noConversion"/>
  </si>
  <si>
    <t>낙산해변, 낙산사, 동해신묘 등</t>
    <phoneticPr fontId="2" type="noConversion"/>
  </si>
  <si>
    <t>창원시</t>
    <phoneticPr fontId="2" type="noConversion"/>
  </si>
  <si>
    <t>제8회 창원음식문화축제</t>
    <phoneticPr fontId="2" type="noConversion"/>
  </si>
  <si>
    <t>10. 22</t>
    <phoneticPr fontId="2" type="noConversion"/>
  </si>
  <si>
    <t>용지문화공원</t>
    <phoneticPr fontId="2" type="noConversion"/>
  </si>
  <si>
    <t>음식문화축제위원회</t>
  </si>
  <si>
    <t>창원시 대표음식 발굴.육성 및 관광 상품화 관리 조례</t>
    <phoneticPr fontId="2" type="noConversion"/>
  </si>
  <si>
    <t>정   원</t>
    <phoneticPr fontId="2" type="noConversion"/>
  </si>
  <si>
    <t>055-225-3603</t>
  </si>
  <si>
    <t>제11회 아구데이축제</t>
    <phoneticPr fontId="2" type="noConversion"/>
  </si>
  <si>
    <t>5.9.</t>
    <phoneticPr fontId="2" type="noConversion"/>
  </si>
  <si>
    <t>오동동문화광장</t>
    <phoneticPr fontId="2" type="noConversion"/>
  </si>
  <si>
    <t>아구데이추진위원회</t>
    <phoneticPr fontId="2" type="noConversion"/>
  </si>
  <si>
    <t>김나영</t>
  </si>
  <si>
    <t>055-225-3604</t>
  </si>
  <si>
    <t>제60회 진해군항제</t>
    <phoneticPr fontId="2" type="noConversion"/>
  </si>
  <si>
    <t>4. 1. ~ 4. 10.</t>
    <phoneticPr fontId="2" type="noConversion"/>
  </si>
  <si>
    <t>진해구 일원</t>
    <phoneticPr fontId="2" type="noConversion"/>
  </si>
  <si>
    <t>공모예정</t>
    <phoneticPr fontId="2" type="noConversion"/>
  </si>
  <si>
    <t>최재원</t>
    <phoneticPr fontId="2" type="noConversion"/>
  </si>
  <si>
    <t>055-225-2344</t>
    <phoneticPr fontId="2" type="noConversion"/>
  </si>
  <si>
    <t>제22회 마산국화축제</t>
    <phoneticPr fontId="2" type="noConversion"/>
  </si>
  <si>
    <t>10. 28. ~ 11. 6.</t>
    <phoneticPr fontId="2" type="noConversion"/>
  </si>
  <si>
    <t>마산해양신도시(예정)</t>
    <phoneticPr fontId="2" type="noConversion"/>
  </si>
  <si>
    <t>김현주</t>
    <phoneticPr fontId="2" type="noConversion"/>
  </si>
  <si>
    <t>055-225-2343</t>
    <phoneticPr fontId="2" type="noConversion"/>
  </si>
  <si>
    <t>창원진동미더덕축제</t>
    <phoneticPr fontId="2" type="noConversion"/>
  </si>
  <si>
    <t>진동면</t>
    <phoneticPr fontId="2" type="noConversion"/>
  </si>
  <si>
    <t>창원진동미더덕축제위원회</t>
    <phoneticPr fontId="2" type="noConversion"/>
  </si>
  <si>
    <t>김도성</t>
    <phoneticPr fontId="2" type="noConversion"/>
  </si>
  <si>
    <t>055-225-3433</t>
    <phoneticPr fontId="2" type="noConversion"/>
  </si>
  <si>
    <t>진해만싱싱수산물축제</t>
    <phoneticPr fontId="2" type="noConversion"/>
  </si>
  <si>
    <t>속천항</t>
    <phoneticPr fontId="2" type="noConversion"/>
  </si>
  <si>
    <t>진해수산업협동조합</t>
    <phoneticPr fontId="2" type="noConversion"/>
  </si>
  <si>
    <t>창원홍하비축제</t>
    <phoneticPr fontId="2" type="noConversion"/>
  </si>
  <si>
    <t>마산수산업협동조합</t>
    <phoneticPr fontId="2" type="noConversion"/>
  </si>
  <si>
    <t>진주시</t>
    <phoneticPr fontId="2" type="noConversion"/>
  </si>
  <si>
    <t>진주논개제</t>
    <phoneticPr fontId="2" type="noConversion"/>
  </si>
  <si>
    <t>사적지</t>
    <phoneticPr fontId="2" type="noConversion"/>
  </si>
  <si>
    <t>진주문화원</t>
    <phoneticPr fontId="2" type="noConversion"/>
  </si>
  <si>
    <t>법정단체</t>
    <phoneticPr fontId="2" type="noConversion"/>
  </si>
  <si>
    <t>지방문화원진흥법 제4조</t>
    <phoneticPr fontId="2" type="noConversion"/>
  </si>
  <si>
    <t>김수남</t>
    <phoneticPr fontId="2" type="noConversion"/>
  </si>
  <si>
    <t>055-749-8589</t>
    <phoneticPr fontId="2" type="noConversion"/>
  </si>
  <si>
    <t>진주뮤직페스티벌</t>
    <phoneticPr fontId="2" type="noConversion"/>
  </si>
  <si>
    <t>(주)KNN</t>
    <phoneticPr fontId="2" type="noConversion"/>
  </si>
  <si>
    <t>윤형석</t>
    <phoneticPr fontId="2" type="noConversion"/>
  </si>
  <si>
    <t>055-749-8590</t>
    <phoneticPr fontId="2" type="noConversion"/>
  </si>
  <si>
    <t>진주남강유등축제</t>
    <phoneticPr fontId="2" type="noConversion"/>
  </si>
  <si>
    <t>10. 1. ~ 10. 10.</t>
    <phoneticPr fontId="2" type="noConversion"/>
  </si>
  <si>
    <t>하천,사적지</t>
    <phoneticPr fontId="2" type="noConversion"/>
  </si>
  <si>
    <t>진주문화예술재단</t>
    <phoneticPr fontId="2" type="noConversion"/>
  </si>
  <si>
    <t>민법 32조, 문화예술진흥법 제7조</t>
    <phoneticPr fontId="2" type="noConversion"/>
  </si>
  <si>
    <t>김성호</t>
    <phoneticPr fontId="2" type="noConversion"/>
  </si>
  <si>
    <t>055-749-8588</t>
    <phoneticPr fontId="2" type="noConversion"/>
  </si>
  <si>
    <t>개천예술제</t>
    <phoneticPr fontId="2" type="noConversion"/>
  </si>
  <si>
    <t>10. 3. ~ 10. 10.</t>
    <phoneticPr fontId="2" type="noConversion"/>
  </si>
  <si>
    <t>한국예총진주지회</t>
    <phoneticPr fontId="2" type="noConversion"/>
  </si>
  <si>
    <t>민법 제32조, 문화체육관광부 및 문화재청 소관 비영리법인의 설립 및 감독에 관한 규칙 제3조</t>
    <phoneticPr fontId="2" type="noConversion"/>
  </si>
  <si>
    <t>코리아드라마페스티벌</t>
    <phoneticPr fontId="2" type="noConversion"/>
  </si>
  <si>
    <t>코리아드라마페스티벌 조직위원회</t>
    <phoneticPr fontId="2" type="noConversion"/>
  </si>
  <si>
    <t>통영시</t>
    <phoneticPr fontId="2" type="noConversion"/>
  </si>
  <si>
    <t>2022 제1회 통영국제트리엔날레</t>
    <phoneticPr fontId="2" type="noConversion"/>
  </si>
  <si>
    <t>03.18. ~ 05.08.</t>
    <phoneticPr fontId="2" type="noConversion"/>
  </si>
  <si>
    <t>통영시 내륙 및 섬일원</t>
    <phoneticPr fontId="2" type="noConversion"/>
  </si>
  <si>
    <t>통영한산대첩문화재단</t>
    <phoneticPr fontId="2" type="noConversion"/>
  </si>
  <si>
    <t>통영한산대첩문화재단 설립 및 운영에 관한 조례</t>
    <phoneticPr fontId="2" type="noConversion"/>
  </si>
  <si>
    <t>조형철</t>
    <phoneticPr fontId="2" type="noConversion"/>
  </si>
  <si>
    <t>055-650-4532</t>
    <phoneticPr fontId="2" type="noConversion"/>
  </si>
  <si>
    <t>통영국제음악제</t>
    <phoneticPr fontId="2" type="noConversion"/>
  </si>
  <si>
    <t>03.25. ~ 04.03.</t>
    <phoneticPr fontId="2" type="noConversion"/>
  </si>
  <si>
    <t>통영시 일원 및 통영국제음악당</t>
    <phoneticPr fontId="2" type="noConversion"/>
  </si>
  <si>
    <t>통영국제음악재단</t>
    <phoneticPr fontId="2" type="noConversion"/>
  </si>
  <si>
    <t>통영국제음악재단 설립 및 운영에 관한 조례</t>
    <phoneticPr fontId="2" type="noConversion"/>
  </si>
  <si>
    <t>문체부
(한국문화예술위원회)</t>
    <phoneticPr fontId="2" type="noConversion"/>
  </si>
  <si>
    <t>정영석</t>
    <phoneticPr fontId="2" type="noConversion"/>
  </si>
  <si>
    <t>055-650-4533</t>
    <phoneticPr fontId="2" type="noConversion"/>
  </si>
  <si>
    <t>2022 통영 문화재 야행</t>
    <phoneticPr fontId="2" type="noConversion"/>
  </si>
  <si>
    <t>04.29. ~ 05.01.</t>
    <phoneticPr fontId="2" type="noConversion"/>
  </si>
  <si>
    <t>삼도수군통제영, 통제영거리 일원</t>
    <phoneticPr fontId="2" type="noConversion"/>
  </si>
  <si>
    <t>김해덕</t>
    <phoneticPr fontId="2" type="noConversion"/>
  </si>
  <si>
    <t>055-650-4522</t>
    <phoneticPr fontId="2" type="noConversion"/>
  </si>
  <si>
    <t>제61회 통영한산대첩축제</t>
    <phoneticPr fontId="2" type="noConversion"/>
  </si>
  <si>
    <t>08.11. ~ 08. 20.</t>
    <phoneticPr fontId="2" type="noConversion"/>
  </si>
  <si>
    <t>통영시 일원</t>
    <phoneticPr fontId="2" type="noConversion"/>
  </si>
  <si>
    <t>사천시</t>
    <phoneticPr fontId="2" type="noConversion"/>
  </si>
  <si>
    <t>2022년 사천시 삼천포항 수산물축제</t>
    <phoneticPr fontId="2" type="noConversion"/>
  </si>
  <si>
    <t xml:space="preserve">4월 중 </t>
    <phoneticPr fontId="2" type="noConversion"/>
  </si>
  <si>
    <t>팔포항 일원</t>
    <phoneticPr fontId="2" type="noConversion"/>
  </si>
  <si>
    <t>사천시삼천포항수산물축제 추진위원회</t>
    <phoneticPr fontId="2" type="noConversion"/>
  </si>
  <si>
    <t>수산물 축제 추진을 위한 자체 위원회 설립</t>
    <phoneticPr fontId="2" type="noConversion"/>
  </si>
  <si>
    <t>이은지</t>
    <phoneticPr fontId="2" type="noConversion"/>
  </si>
  <si>
    <t>055-831-3111</t>
    <phoneticPr fontId="2" type="noConversion"/>
  </si>
  <si>
    <t>제20회 사천시 삼천포항 자연산 전어축제</t>
    <phoneticPr fontId="2" type="noConversion"/>
  </si>
  <si>
    <t xml:space="preserve">7월 중 </t>
    <phoneticPr fontId="2" type="noConversion"/>
  </si>
  <si>
    <t>팔포음식특화지구 일원</t>
    <phoneticPr fontId="2" type="noConversion"/>
  </si>
  <si>
    <t>사천시삼천포항자연산전어축제 추진위원회</t>
    <phoneticPr fontId="2" type="noConversion"/>
  </si>
  <si>
    <t>전어 축제 추진을 위한 자체 위원회 설립</t>
    <phoneticPr fontId="2" type="noConversion"/>
  </si>
  <si>
    <t>남일대 전국청년 트롯가요제</t>
    <phoneticPr fontId="2" type="noConversion"/>
  </si>
  <si>
    <t>남일대해수욕장</t>
    <phoneticPr fontId="2" type="noConversion"/>
  </si>
  <si>
    <t>삼천포 남일대청년트롯가요제추진위원회</t>
    <phoneticPr fontId="2" type="noConversion"/>
  </si>
  <si>
    <t>김정옥</t>
    <phoneticPr fontId="2" type="noConversion"/>
  </si>
  <si>
    <t>055-831-5386</t>
    <phoneticPr fontId="2" type="noConversion"/>
  </si>
  <si>
    <t>제12회 주민복지박람회</t>
    <phoneticPr fontId="2" type="noConversion"/>
  </si>
  <si>
    <t>10.20.~10.23.</t>
    <phoneticPr fontId="2" type="noConversion"/>
  </si>
  <si>
    <t>노을광장</t>
    <phoneticPr fontId="2" type="noConversion"/>
  </si>
  <si>
    <t>사천시자원봉사단체협의회</t>
    <phoneticPr fontId="2" type="noConversion"/>
  </si>
  <si>
    <t>협의회</t>
    <phoneticPr fontId="2" type="noConversion"/>
  </si>
  <si>
    <t>박정인</t>
    <phoneticPr fontId="2" type="noConversion"/>
  </si>
  <si>
    <t>055-831-2615</t>
    <phoneticPr fontId="2" type="noConversion"/>
  </si>
  <si>
    <t>제1회 고려현종대왕축제</t>
    <phoneticPr fontId="2" type="noConversion"/>
  </si>
  <si>
    <t>10.20~10.23</t>
    <phoneticPr fontId="2" type="noConversion"/>
  </si>
  <si>
    <t>사천시청 노을광장</t>
    <phoneticPr fontId="2" type="noConversion"/>
  </si>
  <si>
    <t>1995년</t>
    <phoneticPr fontId="2" type="noConversion"/>
  </si>
  <si>
    <t>사천문화재단</t>
    <phoneticPr fontId="2" type="noConversion"/>
  </si>
  <si>
    <t>사천시 사천문화재단 설립 및 운영조례</t>
    <phoneticPr fontId="2" type="noConversion"/>
  </si>
  <si>
    <t>김예은</t>
    <phoneticPr fontId="2" type="noConversion"/>
  </si>
  <si>
    <t>055-831-6416</t>
    <phoneticPr fontId="2" type="noConversion"/>
  </si>
  <si>
    <t>제7회 별주부전축제</t>
    <phoneticPr fontId="2" type="noConversion"/>
  </si>
  <si>
    <t>7.16.~7.17.</t>
    <phoneticPr fontId="2" type="noConversion"/>
  </si>
  <si>
    <t>비토마을 비토빌체험학교</t>
    <phoneticPr fontId="2" type="noConversion"/>
  </si>
  <si>
    <t>별주부전추진위원회</t>
    <phoneticPr fontId="2" type="noConversion"/>
  </si>
  <si>
    <t>노호진</t>
    <phoneticPr fontId="2" type="noConversion"/>
  </si>
  <si>
    <t>055-831-5237</t>
    <phoneticPr fontId="2" type="noConversion"/>
  </si>
  <si>
    <t>사천시농업한마당축제</t>
    <phoneticPr fontId="2" type="noConversion"/>
  </si>
  <si>
    <t>사천시농업한마당축제추진위원회</t>
    <phoneticPr fontId="2" type="noConversion"/>
  </si>
  <si>
    <t>운영규약</t>
    <phoneticPr fontId="2" type="noConversion"/>
  </si>
  <si>
    <t>표재은</t>
    <phoneticPr fontId="2" type="noConversion"/>
  </si>
  <si>
    <t>055-831-3763</t>
    <phoneticPr fontId="2" type="noConversion"/>
  </si>
  <si>
    <t>비봉내축제</t>
    <phoneticPr fontId="2" type="noConversion"/>
  </si>
  <si>
    <t>9월중</t>
    <phoneticPr fontId="2" type="noConversion"/>
  </si>
  <si>
    <t>운동장</t>
    <phoneticPr fontId="2" type="noConversion"/>
  </si>
  <si>
    <t>곤양비봉내축제추진위원회</t>
    <phoneticPr fontId="2" type="noConversion"/>
  </si>
  <si>
    <t>강진하</t>
    <phoneticPr fontId="2" type="noConversion"/>
  </si>
  <si>
    <t>055-831-5174</t>
    <phoneticPr fontId="2" type="noConversion"/>
  </si>
  <si>
    <t>김해시</t>
    <phoneticPr fontId="2" type="noConversion"/>
  </si>
  <si>
    <t>제27회 김해분청도자기축제</t>
    <phoneticPr fontId="2" type="noConversion"/>
  </si>
  <si>
    <t>10.1~10.10</t>
    <phoneticPr fontId="2" type="noConversion"/>
  </si>
  <si>
    <t>김해분청도자박물관일원</t>
    <phoneticPr fontId="2" type="noConversion"/>
  </si>
  <si>
    <t>유동경</t>
    <phoneticPr fontId="2" type="noConversion"/>
  </si>
  <si>
    <t>055-330-3244</t>
    <phoneticPr fontId="2" type="noConversion"/>
  </si>
  <si>
    <t>허왕후 신행길 축제</t>
    <phoneticPr fontId="2" type="noConversion"/>
  </si>
  <si>
    <t>수릉원, 유튜브</t>
    <phoneticPr fontId="2" type="noConversion"/>
  </si>
  <si>
    <t>윤근혜</t>
    <phoneticPr fontId="2" type="noConversion"/>
  </si>
  <si>
    <t>055-330-3243</t>
    <phoneticPr fontId="2" type="noConversion"/>
  </si>
  <si>
    <t>제3회김해국제의생명과학축제</t>
    <phoneticPr fontId="2" type="noConversion"/>
  </si>
  <si>
    <t>기타(지역산업축제)</t>
    <phoneticPr fontId="2" type="noConversion"/>
  </si>
  <si>
    <t>06.17.~06.19.</t>
    <phoneticPr fontId="2" type="noConversion"/>
  </si>
  <si>
    <t>김해중소기업비즈니스센터</t>
    <phoneticPr fontId="2" type="noConversion"/>
  </si>
  <si>
    <t>이은영</t>
    <phoneticPr fontId="2" type="noConversion"/>
  </si>
  <si>
    <t>055-330-0873</t>
    <phoneticPr fontId="2" type="noConversion"/>
  </si>
  <si>
    <t>김해문화재야행</t>
    <phoneticPr fontId="2" type="noConversion"/>
  </si>
  <si>
    <t>09.30~10.2</t>
    <phoneticPr fontId="2" type="noConversion"/>
  </si>
  <si>
    <t>수로왕릉</t>
    <phoneticPr fontId="2" type="noConversion"/>
  </si>
  <si>
    <t>여지은</t>
    <phoneticPr fontId="2" type="noConversion"/>
  </si>
  <si>
    <t>055-330-3923</t>
    <phoneticPr fontId="2" type="noConversion"/>
  </si>
  <si>
    <t>제3회 불암장어문화축제</t>
    <phoneticPr fontId="2" type="noConversion"/>
  </si>
  <si>
    <t>6.25.~6.26.</t>
    <phoneticPr fontId="2" type="noConversion"/>
  </si>
  <si>
    <t>마을(불암동행정복지센터 일원)</t>
    <phoneticPr fontId="2" type="noConversion"/>
  </si>
  <si>
    <t>2018년</t>
    <phoneticPr fontId="2" type="noConversion"/>
  </si>
  <si>
    <t>22.5(공항공사)</t>
    <phoneticPr fontId="2" type="noConversion"/>
  </si>
  <si>
    <t>배정임</t>
    <phoneticPr fontId="2" type="noConversion"/>
  </si>
  <si>
    <t>055-359-7543</t>
    <phoneticPr fontId="2" type="noConversion"/>
  </si>
  <si>
    <t>제7회김해꽃축제</t>
    <phoneticPr fontId="2" type="noConversion"/>
  </si>
  <si>
    <t>ㅇ생태자연
ㅇ특산물</t>
    <phoneticPr fontId="2" type="noConversion"/>
  </si>
  <si>
    <t>5,6월중</t>
    <phoneticPr fontId="2" type="noConversion"/>
  </si>
  <si>
    <t>대동생태공원</t>
    <phoneticPr fontId="2" type="noConversion"/>
  </si>
  <si>
    <t>김해꽃축제추진위원회</t>
    <phoneticPr fontId="2" type="noConversion"/>
  </si>
  <si>
    <t>비영리법인</t>
    <phoneticPr fontId="2" type="noConversion"/>
  </si>
  <si>
    <t>성영일</t>
    <phoneticPr fontId="2" type="noConversion"/>
  </si>
  <si>
    <t>055-350-4084</t>
    <phoneticPr fontId="2" type="noConversion"/>
  </si>
  <si>
    <t>진영단감축제</t>
    <phoneticPr fontId="2" type="noConversion"/>
  </si>
  <si>
    <t>11월</t>
    <phoneticPr fontId="2" type="noConversion"/>
  </si>
  <si>
    <t>진영공설운동장</t>
    <phoneticPr fontId="2" type="noConversion"/>
  </si>
  <si>
    <t>진영단감축제위원회</t>
    <phoneticPr fontId="2" type="noConversion"/>
  </si>
  <si>
    <t>신연철</t>
    <phoneticPr fontId="2" type="noConversion"/>
  </si>
  <si>
    <t>055-350-4092</t>
    <phoneticPr fontId="2" type="noConversion"/>
  </si>
  <si>
    <t>김해독서대전</t>
    <phoneticPr fontId="2" type="noConversion"/>
  </si>
  <si>
    <t>10.21.~10.22.</t>
    <phoneticPr fontId="2" type="noConversion"/>
  </si>
  <si>
    <t>수릉원 및 권역별 시립도서관</t>
    <phoneticPr fontId="2" type="noConversion"/>
  </si>
  <si>
    <t>문체부
(한국출판문화산업진흥원)</t>
    <phoneticPr fontId="2" type="noConversion"/>
  </si>
  <si>
    <t>송영주</t>
    <phoneticPr fontId="2" type="noConversion"/>
  </si>
  <si>
    <t>055-330-6683</t>
    <phoneticPr fontId="2" type="noConversion"/>
  </si>
  <si>
    <t>2022 김해시 평생학습 과학축제</t>
    <phoneticPr fontId="2" type="noConversion"/>
  </si>
  <si>
    <t>수릉원</t>
    <phoneticPr fontId="2" type="noConversion"/>
  </si>
  <si>
    <t>김해시평생학습축제
위원회</t>
    <phoneticPr fontId="2" type="noConversion"/>
  </si>
  <si>
    <t>최성준</t>
    <phoneticPr fontId="2" type="noConversion"/>
  </si>
  <si>
    <t>055-330-4883</t>
    <phoneticPr fontId="2" type="noConversion"/>
  </si>
  <si>
    <t>김해세계크리스마스 문화축제</t>
    <phoneticPr fontId="2" type="noConversion"/>
  </si>
  <si>
    <t>12.1.~12.31.</t>
    <phoneticPr fontId="2" type="noConversion"/>
  </si>
  <si>
    <t>분성광장 등</t>
    <phoneticPr fontId="2" type="noConversion"/>
  </si>
  <si>
    <t>크리스마스문화축제 추진위원회</t>
    <phoneticPr fontId="2" type="noConversion"/>
  </si>
  <si>
    <t>이지윤</t>
    <phoneticPr fontId="2" type="noConversion"/>
  </si>
  <si>
    <t>055-330-4943</t>
    <phoneticPr fontId="2" type="noConversion"/>
  </si>
  <si>
    <t>제44회 가야문화축제(60주년)</t>
    <phoneticPr fontId="2" type="noConversion"/>
  </si>
  <si>
    <t>4.14.~4.17.</t>
    <phoneticPr fontId="2" type="noConversion"/>
  </si>
  <si>
    <t>연지공원</t>
    <phoneticPr fontId="2" type="noConversion"/>
  </si>
  <si>
    <t>가야문화축제 제전위원회</t>
    <phoneticPr fontId="2" type="noConversion"/>
  </si>
  <si>
    <t>가야문화축제제전위원회 설치 및
 운영에 관한 조례</t>
    <phoneticPr fontId="2" type="noConversion"/>
  </si>
  <si>
    <t>강문정</t>
    <phoneticPr fontId="2" type="noConversion"/>
  </si>
  <si>
    <t>055-330-3944</t>
    <phoneticPr fontId="2" type="noConversion"/>
  </si>
  <si>
    <t>밀양시</t>
    <phoneticPr fontId="2" type="noConversion"/>
  </si>
  <si>
    <t>제22회 밀양공연예술축제</t>
    <phoneticPr fontId="2" type="noConversion"/>
  </si>
  <si>
    <t>7. ~ 8월 중</t>
    <phoneticPr fontId="2" type="noConversion"/>
  </si>
  <si>
    <t>밀양아리랑아트센터
밀양아리나</t>
    <phoneticPr fontId="2" type="noConversion"/>
  </si>
  <si>
    <t>밀양문화재단</t>
    <phoneticPr fontId="2" type="noConversion"/>
  </si>
  <si>
    <t>밀양문화재단 설립 및 운영에 관한 조례(2021년)</t>
    <phoneticPr fontId="2" type="noConversion"/>
  </si>
  <si>
    <t>전현희</t>
    <phoneticPr fontId="2" type="noConversion"/>
  </si>
  <si>
    <t>055-359-5632</t>
    <phoneticPr fontId="2" type="noConversion"/>
  </si>
  <si>
    <t>제40회 대한민국연극제</t>
    <phoneticPr fontId="2" type="noConversion"/>
  </si>
  <si>
    <t>1983년</t>
    <phoneticPr fontId="2" type="noConversion"/>
  </si>
  <si>
    <t>한극연극협회
경남지회</t>
    <phoneticPr fontId="2" type="noConversion"/>
  </si>
  <si>
    <t>밀양시</t>
  </si>
  <si>
    <t>제64회 밀양아리랑대축제</t>
  </si>
  <si>
    <t>5.5.~5.8.</t>
  </si>
  <si>
    <t>영남루 및 밀양강변</t>
  </si>
  <si>
    <t>1957년</t>
    <phoneticPr fontId="2" type="noConversion"/>
  </si>
  <si>
    <t>밀양문화재단</t>
  </si>
  <si>
    <t>밀양문화재단 설립 및 운영에 관한 조례</t>
  </si>
  <si>
    <t>정치열</t>
  </si>
  <si>
    <t>055-359-5649</t>
    <phoneticPr fontId="2" type="noConversion"/>
  </si>
  <si>
    <t>거제시</t>
    <phoneticPr fontId="2" type="noConversion"/>
  </si>
  <si>
    <t>거제 맹종대나무 축제</t>
    <phoneticPr fontId="2" type="noConversion"/>
  </si>
  <si>
    <t>4.1. ~ 5.30.</t>
    <phoneticPr fontId="2" type="noConversion"/>
  </si>
  <si>
    <t>맹종죽테마파크</t>
    <phoneticPr fontId="2" type="noConversion"/>
  </si>
  <si>
    <t>맹종죽영농조합법인</t>
    <phoneticPr fontId="2" type="noConversion"/>
  </si>
  <si>
    <t>거제시 축제의 지원 및 운영에 관한 조례</t>
    <phoneticPr fontId="2" type="noConversion"/>
  </si>
  <si>
    <t>원준우</t>
    <phoneticPr fontId="2" type="noConversion"/>
  </si>
  <si>
    <t>055-639-6354</t>
    <phoneticPr fontId="2" type="noConversion"/>
  </si>
  <si>
    <t>제60회 거제옥포대첩축제</t>
    <phoneticPr fontId="2" type="noConversion"/>
  </si>
  <si>
    <t>5월말~6월초</t>
    <phoneticPr fontId="2" type="noConversion"/>
  </si>
  <si>
    <t>옥포대첩기념공원 일원</t>
    <phoneticPr fontId="2" type="noConversion"/>
  </si>
  <si>
    <t>1962년</t>
    <phoneticPr fontId="2" type="noConversion"/>
  </si>
  <si>
    <t>거제시 문화예술과</t>
    <phoneticPr fontId="2" type="noConversion"/>
  </si>
  <si>
    <t>정은주</t>
    <phoneticPr fontId="2" type="noConversion"/>
  </si>
  <si>
    <t>055-639-3393</t>
    <phoneticPr fontId="2" type="noConversion"/>
  </si>
  <si>
    <t xml:space="preserve">거제시 </t>
    <phoneticPr fontId="2" type="noConversion"/>
  </si>
  <si>
    <t>제 14회 거제도 국제 펭귄수영축제</t>
    <phoneticPr fontId="2" type="noConversion"/>
  </si>
  <si>
    <t>기타(해양스포츠)</t>
    <phoneticPr fontId="2" type="noConversion"/>
  </si>
  <si>
    <t>6월경</t>
    <phoneticPr fontId="2" type="noConversion"/>
  </si>
  <si>
    <t>덕포해수욕장</t>
    <phoneticPr fontId="2" type="noConversion"/>
  </si>
  <si>
    <t>2005년</t>
    <phoneticPr fontId="2" type="noConversion"/>
  </si>
  <si>
    <t>주민자치회</t>
    <phoneticPr fontId="2" type="noConversion"/>
  </si>
  <si>
    <t>지역단체</t>
    <phoneticPr fontId="2" type="noConversion"/>
  </si>
  <si>
    <t>최진호</t>
    <phoneticPr fontId="2" type="noConversion"/>
  </si>
  <si>
    <t>055-639-6864</t>
    <phoneticPr fontId="2" type="noConversion"/>
  </si>
  <si>
    <t>제3회 남부면 수국축제</t>
    <phoneticPr fontId="2" type="noConversion"/>
  </si>
  <si>
    <t>6월말~7월초</t>
    <phoneticPr fontId="2" type="noConversion"/>
  </si>
  <si>
    <t>남부면</t>
    <phoneticPr fontId="2" type="noConversion"/>
  </si>
  <si>
    <t>남부면발전협의회</t>
    <phoneticPr fontId="2" type="noConversion"/>
  </si>
  <si>
    <t>안영길</t>
    <phoneticPr fontId="2" type="noConversion"/>
  </si>
  <si>
    <t>055-639-6531</t>
    <phoneticPr fontId="2" type="noConversion"/>
  </si>
  <si>
    <t>거제 바다로세계로</t>
  </si>
  <si>
    <t>기타(해양스포츠행사 등)</t>
    <phoneticPr fontId="2" type="noConversion"/>
  </si>
  <si>
    <t>8월초</t>
    <phoneticPr fontId="2" type="noConversion"/>
  </si>
  <si>
    <t>지세포해양공원 외 4곳</t>
    <phoneticPr fontId="2" type="noConversion"/>
  </si>
  <si>
    <t>1994년</t>
    <phoneticPr fontId="2" type="noConversion"/>
  </si>
  <si>
    <t>거제시 관광과</t>
    <phoneticPr fontId="2" type="noConversion"/>
  </si>
  <si>
    <t>노윤이</t>
    <phoneticPr fontId="2" type="noConversion"/>
  </si>
  <si>
    <t>055-639-4163</t>
    <phoneticPr fontId="2" type="noConversion"/>
  </si>
  <si>
    <t>제11회 청마포도축제</t>
    <phoneticPr fontId="2" type="noConversion"/>
  </si>
  <si>
    <t>특산물/문화예술</t>
    <phoneticPr fontId="2" type="noConversion"/>
  </si>
  <si>
    <t>8.27.~9.04.</t>
    <phoneticPr fontId="2" type="noConversion"/>
  </si>
  <si>
    <t>둔덕면일원</t>
    <phoneticPr fontId="2" type="noConversion"/>
  </si>
  <si>
    <t>윤명수</t>
    <phoneticPr fontId="2" type="noConversion"/>
  </si>
  <si>
    <t>055-639-6382</t>
    <phoneticPr fontId="2" type="noConversion"/>
  </si>
  <si>
    <t>제10회 청사초롱 가을추억 만들기 축제</t>
    <phoneticPr fontId="2" type="noConversion"/>
  </si>
  <si>
    <t>기타(주민화홥 등)</t>
    <phoneticPr fontId="2" type="noConversion"/>
  </si>
  <si>
    <t>10.01~10.09.</t>
    <phoneticPr fontId="2" type="noConversion"/>
  </si>
  <si>
    <t>삼거동일원</t>
    <phoneticPr fontId="2" type="noConversion"/>
  </si>
  <si>
    <t>청사초롱 가을추억만들기 
축제 추진위원회</t>
    <phoneticPr fontId="2" type="noConversion"/>
  </si>
  <si>
    <t>마을회 및 마을기업</t>
    <phoneticPr fontId="2" type="noConversion"/>
  </si>
  <si>
    <t>「농어업인 삶의 질 향상 및 농어촌 지역개발 촉진에 관한 특별법」
제33조(농어촌의 문화예술 진흥), 
제35조(도시와 농산어촌의 교류확대)</t>
    <phoneticPr fontId="2" type="noConversion"/>
  </si>
  <si>
    <t>농식품부</t>
    <phoneticPr fontId="2" type="noConversion"/>
  </si>
  <si>
    <t>정다혜</t>
    <phoneticPr fontId="2" type="noConversion"/>
  </si>
  <si>
    <t>055-639-6343</t>
    <phoneticPr fontId="2" type="noConversion"/>
  </si>
  <si>
    <t>제16회 거제섬꽃축제</t>
    <phoneticPr fontId="2" type="noConversion"/>
  </si>
  <si>
    <t>10.29.~11.6.</t>
    <phoneticPr fontId="2" type="noConversion"/>
  </si>
  <si>
    <t>거제시농업개발원</t>
    <phoneticPr fontId="2" type="noConversion"/>
  </si>
  <si>
    <t>거제시 농업관광과</t>
    <phoneticPr fontId="2" type="noConversion"/>
  </si>
  <si>
    <t>기관</t>
    <phoneticPr fontId="2" type="noConversion"/>
  </si>
  <si>
    <t>양희은</t>
    <phoneticPr fontId="2" type="noConversion"/>
  </si>
  <si>
    <t>055-639-6443</t>
    <phoneticPr fontId="2" type="noConversion"/>
  </si>
  <si>
    <t>제15회 거제대구수산물축제</t>
    <phoneticPr fontId="2" type="noConversion"/>
  </si>
  <si>
    <t>12월중</t>
    <phoneticPr fontId="2" type="noConversion"/>
  </si>
  <si>
    <t>외포항</t>
    <phoneticPr fontId="2" type="noConversion"/>
  </si>
  <si>
    <t>거제대구수산물 축제위원회</t>
    <phoneticPr fontId="2" type="noConversion"/>
  </si>
  <si>
    <t>단체</t>
    <phoneticPr fontId="2" type="noConversion"/>
  </si>
  <si>
    <t>김선규</t>
    <phoneticPr fontId="2" type="noConversion"/>
  </si>
  <si>
    <t>055-639-4273</t>
    <phoneticPr fontId="2" type="noConversion"/>
  </si>
  <si>
    <t>양산시</t>
    <phoneticPr fontId="2" type="noConversion"/>
  </si>
  <si>
    <t>원동매화축제</t>
    <phoneticPr fontId="2" type="noConversion"/>
  </si>
  <si>
    <t>3월중</t>
    <phoneticPr fontId="2" type="noConversion"/>
  </si>
  <si>
    <t>원동마을
일원</t>
    <phoneticPr fontId="2" type="noConversion"/>
  </si>
  <si>
    <t xml:space="preserve">미정 </t>
    <phoneticPr fontId="2" type="noConversion"/>
  </si>
  <si>
    <t>원동매화축제추진위원회</t>
    <phoneticPr fontId="2" type="noConversion"/>
  </si>
  <si>
    <t>양산시 문화축전 추진</t>
    <phoneticPr fontId="2" type="noConversion"/>
  </si>
  <si>
    <t>전정민</t>
    <phoneticPr fontId="2" type="noConversion"/>
  </si>
  <si>
    <t>055-392-3232</t>
    <phoneticPr fontId="2" type="noConversion"/>
  </si>
  <si>
    <t>배내골고로쇠축제</t>
    <phoneticPr fontId="2" type="noConversion"/>
  </si>
  <si>
    <t>배내골
홍보관일원</t>
    <phoneticPr fontId="2" type="noConversion"/>
  </si>
  <si>
    <t>배내골주민자치위원회</t>
    <phoneticPr fontId="2" type="noConversion"/>
  </si>
  <si>
    <t>원동청정 미나리축제</t>
    <phoneticPr fontId="2" type="noConversion"/>
  </si>
  <si>
    <t>원동면
일원</t>
    <phoneticPr fontId="2" type="noConversion"/>
  </si>
  <si>
    <t>원동청정미나리연구회</t>
    <phoneticPr fontId="2" type="noConversion"/>
  </si>
  <si>
    <t>2022 물금 벚꽃 축제</t>
    <phoneticPr fontId="2" type="noConversion"/>
  </si>
  <si>
    <t>3월말</t>
    <phoneticPr fontId="2" type="noConversion"/>
  </si>
  <si>
    <t>황산공원</t>
    <phoneticPr fontId="2" type="noConversion"/>
  </si>
  <si>
    <t>신선영</t>
    <phoneticPr fontId="2" type="noConversion"/>
  </si>
  <si>
    <t>055-392-7012</t>
    <phoneticPr fontId="2" type="noConversion"/>
  </si>
  <si>
    <t>2022 양산봄꽃축제</t>
    <phoneticPr fontId="2" type="noConversion"/>
  </si>
  <si>
    <t>4월중</t>
    <phoneticPr fontId="2" type="noConversion"/>
  </si>
  <si>
    <t>양산천
둔치</t>
    <phoneticPr fontId="2" type="noConversion"/>
  </si>
  <si>
    <t>김상욱</t>
    <phoneticPr fontId="2" type="noConversion"/>
  </si>
  <si>
    <t>055-395-5343</t>
    <phoneticPr fontId="2" type="noConversion"/>
  </si>
  <si>
    <t>양산웅상회야제</t>
    <phoneticPr fontId="2" type="noConversion"/>
  </si>
  <si>
    <t>웅상체육공원</t>
    <phoneticPr fontId="2" type="noConversion"/>
  </si>
  <si>
    <t>양산웅상회야제추진위원회</t>
    <phoneticPr fontId="2" type="noConversion"/>
  </si>
  <si>
    <t>양산시 문화축전 추진위원회 설치 및 운영에 관한 조례</t>
    <phoneticPr fontId="2" type="noConversion"/>
  </si>
  <si>
    <t>서경진</t>
    <phoneticPr fontId="2" type="noConversion"/>
  </si>
  <si>
    <t>055-392-6183</t>
    <phoneticPr fontId="2" type="noConversion"/>
  </si>
  <si>
    <t>삽량문화축전</t>
    <phoneticPr fontId="2" type="noConversion"/>
  </si>
  <si>
    <t>양산삽량문화축전추진위원회</t>
    <phoneticPr fontId="2" type="noConversion"/>
  </si>
  <si>
    <t>오나리</t>
    <phoneticPr fontId="2" type="noConversion"/>
  </si>
  <si>
    <t>055-395-2543</t>
    <phoneticPr fontId="2" type="noConversion"/>
  </si>
  <si>
    <t>양산시</t>
  </si>
  <si>
    <t>차문화축제</t>
  </si>
  <si>
    <t>지역축제</t>
    <phoneticPr fontId="2" type="noConversion"/>
  </si>
  <si>
    <t>통도문화예술거리</t>
  </si>
  <si>
    <t>통도예술마을협동조합</t>
  </si>
  <si>
    <t>전정민</t>
  </si>
  <si>
    <t>055-392-3232</t>
  </si>
  <si>
    <t>2022 양산국화축제</t>
    <phoneticPr fontId="2" type="noConversion"/>
  </si>
  <si>
    <t>055-392-5343</t>
    <phoneticPr fontId="2" type="noConversion"/>
  </si>
  <si>
    <t>사과축제</t>
    <phoneticPr fontId="2" type="noConversion"/>
  </si>
  <si>
    <t>의령군</t>
    <phoneticPr fontId="2" type="noConversion"/>
  </si>
  <si>
    <t>가례 밭미나리 축제</t>
    <phoneticPr fontId="2" type="noConversion"/>
  </si>
  <si>
    <t>2월 말(9일)</t>
    <phoneticPr fontId="2" type="noConversion"/>
  </si>
  <si>
    <t>가례 밭미나리 집하장</t>
    <phoneticPr fontId="2" type="noConversion"/>
  </si>
  <si>
    <t>자굴산 청정 
밭미나리 작목회</t>
    <phoneticPr fontId="2" type="noConversion"/>
  </si>
  <si>
    <t>작목회</t>
    <phoneticPr fontId="2" type="noConversion"/>
  </si>
  <si>
    <t>김경민</t>
    <phoneticPr fontId="2" type="noConversion"/>
  </si>
  <si>
    <t>055-570-2513</t>
    <phoneticPr fontId="2" type="noConversion"/>
  </si>
  <si>
    <t>제48회 의령홍의장군축제</t>
    <phoneticPr fontId="2" type="noConversion"/>
  </si>
  <si>
    <t>4.21.~4.24.</t>
    <phoneticPr fontId="2" type="noConversion"/>
  </si>
  <si>
    <t>의령서동생활공원</t>
    <phoneticPr fontId="2" type="noConversion"/>
  </si>
  <si>
    <t>1973년</t>
    <phoneticPr fontId="2" type="noConversion"/>
  </si>
  <si>
    <t>의병기념사업회</t>
    <phoneticPr fontId="2" type="noConversion"/>
  </si>
  <si>
    <t xml:space="preserve">의병기념사업회 정관 </t>
    <phoneticPr fontId="2" type="noConversion"/>
  </si>
  <si>
    <t>이정은</t>
    <phoneticPr fontId="2" type="noConversion"/>
  </si>
  <si>
    <t>055-570-2502</t>
    <phoneticPr fontId="2" type="noConversion"/>
  </si>
  <si>
    <t>한우산 철쭉제</t>
    <phoneticPr fontId="2" type="noConversion"/>
  </si>
  <si>
    <t>4월말(1일)</t>
    <phoneticPr fontId="2" type="noConversion"/>
  </si>
  <si>
    <t>한우산 정상 일원</t>
    <phoneticPr fontId="2" type="noConversion"/>
  </si>
  <si>
    <t>봉황청년회</t>
    <phoneticPr fontId="2" type="noConversion"/>
  </si>
  <si>
    <t>자생단체</t>
    <phoneticPr fontId="2" type="noConversion"/>
  </si>
  <si>
    <t>신번문화축제</t>
    <phoneticPr fontId="2" type="noConversion"/>
  </si>
  <si>
    <t>부림면</t>
    <phoneticPr fontId="2" type="noConversion"/>
  </si>
  <si>
    <t>손아람</t>
    <phoneticPr fontId="2" type="noConversion"/>
  </si>
  <si>
    <t>055-570-2504</t>
    <phoneticPr fontId="2" type="noConversion"/>
  </si>
  <si>
    <t>함안군</t>
    <phoneticPr fontId="2" type="noConversion"/>
  </si>
  <si>
    <t>제34회 아라가야문화제</t>
    <phoneticPr fontId="2" type="noConversion"/>
  </si>
  <si>
    <t>4.22.~4.24.</t>
    <phoneticPr fontId="2" type="noConversion"/>
  </si>
  <si>
    <t>함안공설운동장,
함안박물관일원</t>
    <phoneticPr fontId="2" type="noConversion"/>
  </si>
  <si>
    <t>아라가야
문화제위원회</t>
    <phoneticPr fontId="2" type="noConversion"/>
  </si>
  <si>
    <t>아라가야문화제위원회
설치운영에 관한 조례</t>
    <phoneticPr fontId="2" type="noConversion"/>
  </si>
  <si>
    <t>최유리</t>
    <phoneticPr fontId="2" type="noConversion"/>
  </si>
  <si>
    <t>055-580-2303</t>
    <phoneticPr fontId="2" type="noConversion"/>
  </si>
  <si>
    <t>제28회 함안수박축제</t>
    <phoneticPr fontId="2" type="noConversion"/>
  </si>
  <si>
    <t>함주공원 일원</t>
    <phoneticPr fontId="2" type="noConversion"/>
  </si>
  <si>
    <t>1993년</t>
    <phoneticPr fontId="2" type="noConversion"/>
  </si>
  <si>
    <t>함안수박축제위원회</t>
    <phoneticPr fontId="2" type="noConversion"/>
  </si>
  <si>
    <t>함안군 수박보호 및 육성지원 조례</t>
    <phoneticPr fontId="2" type="noConversion"/>
  </si>
  <si>
    <t>서진욱</t>
    <phoneticPr fontId="2" type="noConversion"/>
  </si>
  <si>
    <t>055-580-4512</t>
    <phoneticPr fontId="2" type="noConversion"/>
  </si>
  <si>
    <t>제10회 강주해바라기축제</t>
    <phoneticPr fontId="2" type="noConversion"/>
  </si>
  <si>
    <t>일반축제</t>
    <phoneticPr fontId="2" type="noConversion"/>
  </si>
  <si>
    <t>8.19.~9.4.</t>
    <phoneticPr fontId="2" type="noConversion"/>
  </si>
  <si>
    <t>강주마을 일원</t>
    <phoneticPr fontId="2" type="noConversion"/>
  </si>
  <si>
    <t>강주해바라기축제위원회</t>
    <phoneticPr fontId="2" type="noConversion"/>
  </si>
  <si>
    <t>김나연</t>
    <phoneticPr fontId="2" type="noConversion"/>
  </si>
  <si>
    <t>055-580-4405</t>
    <phoneticPr fontId="2" type="noConversion"/>
  </si>
  <si>
    <t>창녕군</t>
    <phoneticPr fontId="2" type="noConversion"/>
  </si>
  <si>
    <t>제61회 3.1민속문화제</t>
    <phoneticPr fontId="2" type="noConversion"/>
  </si>
  <si>
    <t>2.28~3.3.</t>
    <phoneticPr fontId="2" type="noConversion"/>
  </si>
  <si>
    <t>국가무형문화재 놀이마당</t>
    <phoneticPr fontId="2" type="noConversion"/>
  </si>
  <si>
    <t>1961년</t>
    <phoneticPr fontId="2" type="noConversion"/>
  </si>
  <si>
    <t>(사)영산3.1민속문화향상회</t>
  </si>
  <si>
    <t>창녕군 문화예술진흥 조례</t>
    <phoneticPr fontId="2" type="noConversion"/>
  </si>
  <si>
    <t>손영솔</t>
    <phoneticPr fontId="2" type="noConversion"/>
  </si>
  <si>
    <t>055-530-1464</t>
    <phoneticPr fontId="2" type="noConversion"/>
  </si>
  <si>
    <t>제27회 부곡온천축제</t>
    <phoneticPr fontId="2" type="noConversion"/>
  </si>
  <si>
    <t>부곡온천 관광특구 일원</t>
    <phoneticPr fontId="2" type="noConversion"/>
  </si>
  <si>
    <t>(사)부곡온천관광협의회</t>
    <phoneticPr fontId="2" type="noConversion"/>
  </si>
  <si>
    <t>창녕군 관광진흥에 관한 조례</t>
    <phoneticPr fontId="2" type="noConversion"/>
  </si>
  <si>
    <t>이서정</t>
    <phoneticPr fontId="2" type="noConversion"/>
  </si>
  <si>
    <t>055-530-1594</t>
    <phoneticPr fontId="2" type="noConversion"/>
  </si>
  <si>
    <t>제17회 창녕낙동강유채축제</t>
    <phoneticPr fontId="2" type="noConversion"/>
  </si>
  <si>
    <t>남지유채단지</t>
    <phoneticPr fontId="2" type="noConversion"/>
  </si>
  <si>
    <t>(사)창녕낙동강유채축제위원회</t>
    <phoneticPr fontId="2" type="noConversion"/>
  </si>
  <si>
    <t>석민수</t>
    <phoneticPr fontId="2" type="noConversion"/>
  </si>
  <si>
    <t>055-530-1533</t>
    <phoneticPr fontId="2" type="noConversion"/>
  </si>
  <si>
    <t>창녕문화재 야행 '가소로운 비사벌'</t>
    <phoneticPr fontId="2" type="noConversion"/>
  </si>
  <si>
    <t>창녕읍 일원</t>
    <phoneticPr fontId="2" type="noConversion"/>
  </si>
  <si>
    <t>창녕예총</t>
    <phoneticPr fontId="2" type="noConversion"/>
  </si>
  <si>
    <t>제1회 창녕 양파〮마늘 축제</t>
    <phoneticPr fontId="2" type="noConversion"/>
  </si>
  <si>
    <t>창녕 공설운동장</t>
    <phoneticPr fontId="2" type="noConversion"/>
  </si>
  <si>
    <t>자치단체</t>
    <phoneticPr fontId="2" type="noConversion"/>
  </si>
  <si>
    <t>김영현</t>
    <phoneticPr fontId="2" type="noConversion"/>
  </si>
  <si>
    <t>055-530-7553</t>
    <phoneticPr fontId="2" type="noConversion"/>
  </si>
  <si>
    <t>제36회 우포누리와 함께하는 비사벌문화제</t>
    <phoneticPr fontId="2" type="noConversion"/>
  </si>
  <si>
    <t>1986년</t>
    <phoneticPr fontId="2" type="noConversion"/>
  </si>
  <si>
    <t>(사)비사벌문화제전회</t>
    <phoneticPr fontId="2" type="noConversion"/>
  </si>
  <si>
    <t>경남 고성 옥수수축제</t>
    <phoneticPr fontId="2" type="noConversion"/>
  </si>
  <si>
    <t>고성동부농협외곡지점</t>
    <phoneticPr fontId="2" type="noConversion"/>
  </si>
  <si>
    <t>고성군 옥수수축제 추진위원회</t>
    <phoneticPr fontId="2" type="noConversion"/>
  </si>
  <si>
    <t>조정민</t>
    <phoneticPr fontId="2" type="noConversion"/>
  </si>
  <si>
    <t>055-670-5684</t>
    <phoneticPr fontId="2" type="noConversion"/>
  </si>
  <si>
    <t>고성군</t>
  </si>
  <si>
    <t>당항포대첩축제</t>
  </si>
  <si>
    <t>당항포관광지</t>
  </si>
  <si>
    <t>당항포대첩축제위원회</t>
  </si>
  <si>
    <t>동승근</t>
  </si>
  <si>
    <t>055-670-4502</t>
    <phoneticPr fontId="2" type="noConversion"/>
  </si>
  <si>
    <t>소가야문화재</t>
    <phoneticPr fontId="2" type="noConversion"/>
  </si>
  <si>
    <t>송학동 고분군</t>
    <phoneticPr fontId="2" type="noConversion"/>
  </si>
  <si>
    <t>(사)소가야문화보존회</t>
    <phoneticPr fontId="14" type="noConversion"/>
  </si>
  <si>
    <t>사단법인</t>
    <phoneticPr fontId="14" type="noConversion"/>
  </si>
  <si>
    <t>곽미화</t>
    <phoneticPr fontId="2" type="noConversion"/>
  </si>
  <si>
    <t>055-670-2204</t>
    <phoneticPr fontId="2" type="noConversion"/>
  </si>
  <si>
    <t>고성 가리비 수산물축제</t>
    <phoneticPr fontId="2" type="noConversion"/>
  </si>
  <si>
    <t>고성군수산물축제추진위원회</t>
    <phoneticPr fontId="14" type="noConversion"/>
  </si>
  <si>
    <t>위원회</t>
    <phoneticPr fontId="14" type="noConversion"/>
  </si>
  <si>
    <t>김동욱</t>
    <phoneticPr fontId="2" type="noConversion"/>
  </si>
  <si>
    <t>055-670-2454</t>
    <phoneticPr fontId="2" type="noConversion"/>
  </si>
  <si>
    <t>촌스런축제</t>
    <phoneticPr fontId="2" type="noConversion"/>
  </si>
  <si>
    <t>영현면 영동둔치공원</t>
    <phoneticPr fontId="2" type="noConversion"/>
  </si>
  <si>
    <t>고성군/영현면발전위원회</t>
    <phoneticPr fontId="14" type="noConversion"/>
  </si>
  <si>
    <t>노규섭</t>
    <phoneticPr fontId="2" type="noConversion"/>
  </si>
  <si>
    <t>055-670-5302</t>
    <phoneticPr fontId="2" type="noConversion"/>
  </si>
  <si>
    <t>고성공룡이야기 책축제</t>
    <phoneticPr fontId="2" type="noConversion"/>
  </si>
  <si>
    <t>동시동화 나무의숲</t>
    <phoneticPr fontId="2" type="noConversion"/>
  </si>
  <si>
    <t>김보민</t>
    <phoneticPr fontId="2" type="noConversion"/>
  </si>
  <si>
    <t>055-670-2234</t>
    <phoneticPr fontId="2" type="noConversion"/>
  </si>
  <si>
    <t>만화방초 수국축제</t>
    <phoneticPr fontId="2" type="noConversion"/>
  </si>
  <si>
    <t>만화방초</t>
    <phoneticPr fontId="2" type="noConversion"/>
  </si>
  <si>
    <t>만화방초</t>
    <phoneticPr fontId="14" type="noConversion"/>
  </si>
  <si>
    <t>민간</t>
    <phoneticPr fontId="14" type="noConversion"/>
  </si>
  <si>
    <t>고성 독수리 철새맞이 생태축제</t>
    <phoneticPr fontId="2" type="noConversion"/>
  </si>
  <si>
    <t>고성읍 기월리 일원</t>
    <phoneticPr fontId="2" type="noConversion"/>
  </si>
  <si>
    <t>한국조류보호협회 고성지회</t>
    <phoneticPr fontId="14" type="noConversion"/>
  </si>
  <si>
    <t>옥경연</t>
    <phoneticPr fontId="2" type="noConversion"/>
  </si>
  <si>
    <t>055-670-2233</t>
    <phoneticPr fontId="2" type="noConversion"/>
  </si>
  <si>
    <t>고성 수국 캠핑 페스티벌</t>
    <phoneticPr fontId="2" type="noConversion"/>
  </si>
  <si>
    <t>그레이스정원</t>
    <phoneticPr fontId="2" type="noConversion"/>
  </si>
  <si>
    <t>그레이스 정원</t>
    <phoneticPr fontId="14" type="noConversion"/>
  </si>
  <si>
    <t>빛으로 만나는 문화축제</t>
    <phoneticPr fontId="2" type="noConversion"/>
  </si>
  <si>
    <t>고성읍 동외광장</t>
    <phoneticPr fontId="2" type="noConversion"/>
  </si>
  <si>
    <t>고성군기독교연합회</t>
    <phoneticPr fontId="14" type="noConversion"/>
  </si>
  <si>
    <t>남해군</t>
    <phoneticPr fontId="2" type="noConversion"/>
  </si>
  <si>
    <t>고현관음포 둑방봄꽃축제</t>
    <phoneticPr fontId="2" type="noConversion"/>
  </si>
  <si>
    <t>고현면 일원</t>
    <phoneticPr fontId="2" type="noConversion"/>
  </si>
  <si>
    <t>고현관음포 둑방봄꽃축제추진위</t>
    <phoneticPr fontId="2" type="noConversion"/>
  </si>
  <si>
    <t>박진석</t>
    <phoneticPr fontId="2" type="noConversion"/>
  </si>
  <si>
    <t>055-860-8603</t>
    <phoneticPr fontId="2" type="noConversion"/>
  </si>
  <si>
    <t>보물섬 미조항 멸치축제</t>
    <phoneticPr fontId="2" type="noConversion"/>
  </si>
  <si>
    <t>미조북항</t>
    <phoneticPr fontId="2" type="noConversion"/>
  </si>
  <si>
    <t>창선고사리삼합축제</t>
    <phoneticPr fontId="2" type="noConversion"/>
  </si>
  <si>
    <t>창선면 일원</t>
    <phoneticPr fontId="2" type="noConversion"/>
  </si>
  <si>
    <t>창선고사리삼합축제추진위원회</t>
    <phoneticPr fontId="2" type="noConversion"/>
  </si>
  <si>
    <t>보물섬 마늘축제&amp;한우잔치</t>
    <phoneticPr fontId="2" type="noConversion"/>
  </si>
  <si>
    <t>남해읍 일원</t>
    <phoneticPr fontId="2" type="noConversion"/>
  </si>
  <si>
    <t>보물섬 마늘축제&amp;한우잔치 추진위원회</t>
    <phoneticPr fontId="2" type="noConversion"/>
  </si>
  <si>
    <t>상주은모래비치 섬머페스티벌</t>
    <phoneticPr fontId="2" type="noConversion"/>
  </si>
  <si>
    <t>상주은모래비치</t>
    <phoneticPr fontId="2" type="noConversion"/>
  </si>
  <si>
    <t>섬머페스티벌 축제추진위원회</t>
    <phoneticPr fontId="2" type="noConversion"/>
  </si>
  <si>
    <t>보물섬 갈화 왕새우축제</t>
    <phoneticPr fontId="2" type="noConversion"/>
  </si>
  <si>
    <t>갈화항</t>
    <phoneticPr fontId="2" type="noConversion"/>
  </si>
  <si>
    <t>보물섬 갈화 왕새우축제 추진위원회</t>
    <phoneticPr fontId="2" type="noConversion"/>
  </si>
  <si>
    <t>독일마을 맥주축제</t>
    <phoneticPr fontId="2" type="noConversion"/>
  </si>
  <si>
    <t>독일마을</t>
    <phoneticPr fontId="2" type="noConversion"/>
  </si>
  <si>
    <t>남해군관광문화재단</t>
    <phoneticPr fontId="2" type="noConversion"/>
  </si>
  <si>
    <t>남해군 관광문화재단 설립 및 운영에 관한 조례</t>
    <phoneticPr fontId="2" type="noConversion"/>
  </si>
  <si>
    <t>보물섬 남해 커피축제</t>
    <phoneticPr fontId="2" type="noConversion"/>
  </si>
  <si>
    <t>남해읍 남산공원</t>
    <phoneticPr fontId="2" type="noConversion"/>
  </si>
  <si>
    <t>보물섬 남해 커피축제 추진위원회</t>
    <phoneticPr fontId="2" type="noConversion"/>
  </si>
  <si>
    <t>이순신 순국제전</t>
    <phoneticPr fontId="2" type="noConversion"/>
  </si>
  <si>
    <t>11월(격년제)</t>
  </si>
  <si>
    <t>이순신순국공원</t>
    <phoneticPr fontId="2" type="noConversion"/>
  </si>
  <si>
    <t>보물섬 남해 설천 참굴축제</t>
    <phoneticPr fontId="2" type="noConversion"/>
  </si>
  <si>
    <t>12월 중</t>
  </si>
  <si>
    <t>설천면 일원</t>
    <phoneticPr fontId="2" type="noConversion"/>
  </si>
  <si>
    <t>보물섬 남해 설천 참굴축제 추진위원회</t>
    <phoneticPr fontId="2" type="noConversion"/>
  </si>
  <si>
    <t>상주해돋이&amp; 물메기 축제</t>
    <phoneticPr fontId="2" type="noConversion"/>
  </si>
  <si>
    <t>12.31~01.01</t>
  </si>
  <si>
    <t>상주해돋이&amp; 물메기 축제 추진위원회</t>
    <phoneticPr fontId="2" type="noConversion"/>
  </si>
  <si>
    <t>가천 다랭이 해맞이축제</t>
    <phoneticPr fontId="2" type="noConversion"/>
  </si>
  <si>
    <t>가천다랭이마을</t>
    <phoneticPr fontId="2" type="noConversion"/>
  </si>
  <si>
    <t>가천 다랭이 해맞이축제 추진위원회</t>
    <phoneticPr fontId="2" type="noConversion"/>
  </si>
  <si>
    <t>하동군</t>
    <phoneticPr fontId="2" type="noConversion"/>
  </si>
  <si>
    <t>화개장터 벚꽃축제</t>
    <phoneticPr fontId="2" type="noConversion"/>
  </si>
  <si>
    <t>하동군 화개면 영호남 화합 다목적광장</t>
    <phoneticPr fontId="2" type="noConversion"/>
  </si>
  <si>
    <t>화개면 청년회</t>
    <phoneticPr fontId="2" type="noConversion"/>
  </si>
  <si>
    <t>노정훈</t>
    <phoneticPr fontId="2" type="noConversion"/>
  </si>
  <si>
    <t>055-880-2053</t>
    <phoneticPr fontId="2" type="noConversion"/>
  </si>
  <si>
    <t>하동야생차문화축제</t>
    <phoneticPr fontId="2" type="noConversion"/>
  </si>
  <si>
    <t>5월 중
(하동세계차엑스포 기간 내)</t>
    <phoneticPr fontId="2" type="noConversion"/>
  </si>
  <si>
    <t>하동세계차엑스포 제2행사장 및 화개, 악양면 일원</t>
    <phoneticPr fontId="2" type="noConversion"/>
  </si>
  <si>
    <t>(사)하동야생차문화축제 조직위원회</t>
    <phoneticPr fontId="2" type="noConversion"/>
  </si>
  <si>
    <t>하동북천 꽃 양귀비 축제</t>
    <phoneticPr fontId="2" type="noConversion"/>
  </si>
  <si>
    <t>하동군 북천면 일원</t>
    <phoneticPr fontId="2" type="noConversion"/>
  </si>
  <si>
    <t>북천 코스모스메밀꽃 영농법인</t>
    <phoneticPr fontId="2" type="noConversion"/>
  </si>
  <si>
    <t>영농법인</t>
    <phoneticPr fontId="2" type="noConversion"/>
  </si>
  <si>
    <t>정지은</t>
    <phoneticPr fontId="2" type="noConversion"/>
  </si>
  <si>
    <t>055-880-2414</t>
    <phoneticPr fontId="2" type="noConversion"/>
  </si>
  <si>
    <t>알프스하동섬진강재첩축제</t>
    <phoneticPr fontId="2" type="noConversion"/>
  </si>
  <si>
    <t>하동송림 및 섬진강변 일원</t>
    <phoneticPr fontId="2" type="noConversion"/>
  </si>
  <si>
    <t>알프스하동 섬진강문화 재첩축제위원회</t>
    <phoneticPr fontId="2" type="noConversion"/>
  </si>
  <si>
    <t>섬진강 은어 낚시왕 대회</t>
    <phoneticPr fontId="2" type="noConversion"/>
  </si>
  <si>
    <t>7~8월중</t>
    <phoneticPr fontId="2" type="noConversion"/>
  </si>
  <si>
    <t>화개면 섬진강 일원</t>
    <phoneticPr fontId="2" type="noConversion"/>
  </si>
  <si>
    <t>이재동</t>
    <phoneticPr fontId="2" type="noConversion"/>
  </si>
  <si>
    <t>055-880-248</t>
    <phoneticPr fontId="2" type="noConversion"/>
  </si>
  <si>
    <t>하동술상 맛 전어축제</t>
    <phoneticPr fontId="2" type="noConversion"/>
  </si>
  <si>
    <t>술상항</t>
    <phoneticPr fontId="2" type="noConversion"/>
  </si>
  <si>
    <t>술상어촌계</t>
    <phoneticPr fontId="2" type="noConversion"/>
  </si>
  <si>
    <t>어촌계</t>
    <phoneticPr fontId="2" type="noConversion"/>
  </si>
  <si>
    <t>수산업협동조합법 제15조</t>
    <phoneticPr fontId="2" type="noConversion"/>
  </si>
  <si>
    <t>해양수산부</t>
    <phoneticPr fontId="2" type="noConversion"/>
  </si>
  <si>
    <t>조성은</t>
    <phoneticPr fontId="2" type="noConversion"/>
  </si>
  <si>
    <t>055-880-2453</t>
    <phoneticPr fontId="2" type="noConversion"/>
  </si>
  <si>
    <t>하동북천 코스모스 메밀꽃 축제</t>
    <phoneticPr fontId="2" type="noConversion"/>
  </si>
  <si>
    <t>지리산회남재숲길걷기행사</t>
    <phoneticPr fontId="2" type="noConversion"/>
  </si>
  <si>
    <t>하동군 청암면 청학동 회남재 입구</t>
    <phoneticPr fontId="2" type="noConversion"/>
  </si>
  <si>
    <t>제22회 토지문학제</t>
    <phoneticPr fontId="2" type="noConversion"/>
  </si>
  <si>
    <t>10.14~10.16.</t>
    <phoneticPr fontId="2" type="noConversion"/>
  </si>
  <si>
    <t>최참판댁</t>
    <phoneticPr fontId="2" type="noConversion"/>
  </si>
  <si>
    <t>토지문학제운영위원회</t>
    <phoneticPr fontId="2" type="noConversion"/>
  </si>
  <si>
    <t>하동군 문화예술진흥 조례</t>
    <phoneticPr fontId="2" type="noConversion"/>
  </si>
  <si>
    <t>배소현</t>
    <phoneticPr fontId="2" type="noConversion"/>
  </si>
  <si>
    <t>055-880-2363</t>
    <phoneticPr fontId="2" type="noConversion"/>
  </si>
  <si>
    <t>악양대봉감축제</t>
    <phoneticPr fontId="2" type="noConversion"/>
  </si>
  <si>
    <t>11월중</t>
    <phoneticPr fontId="2" type="noConversion"/>
  </si>
  <si>
    <t>악양면 평사리 공원 일원</t>
    <phoneticPr fontId="2" type="noConversion"/>
  </si>
  <si>
    <t>미정
(추경예정)</t>
    <phoneticPr fontId="2" type="noConversion"/>
  </si>
  <si>
    <t>하동 악양면청년회</t>
    <phoneticPr fontId="2" type="noConversion"/>
  </si>
  <si>
    <t>김순종</t>
    <phoneticPr fontId="2" type="noConversion"/>
  </si>
  <si>
    <t>055-880-6573</t>
    <phoneticPr fontId="2" type="noConversion"/>
  </si>
  <si>
    <t>산청군</t>
    <phoneticPr fontId="2" type="noConversion"/>
  </si>
  <si>
    <t>제15회 지리산산청곶감축제</t>
    <phoneticPr fontId="14" type="noConversion"/>
  </si>
  <si>
    <t>1.6.~1.23</t>
    <phoneticPr fontId="14" type="noConversion"/>
  </si>
  <si>
    <t>지리산산청곶감축제추진위원회</t>
    <phoneticPr fontId="2" type="noConversion"/>
  </si>
  <si>
    <t>이은진</t>
    <phoneticPr fontId="2" type="noConversion"/>
  </si>
  <si>
    <t>055-970-6931</t>
    <phoneticPr fontId="2" type="noConversion"/>
  </si>
  <si>
    <t>제38회 산청황매산철쭉제</t>
    <phoneticPr fontId="2" type="noConversion"/>
  </si>
  <si>
    <t>산청황매산</t>
    <phoneticPr fontId="2" type="noConversion"/>
  </si>
  <si>
    <t>산청군관광진흥과/산청황매산철쭉제위원회</t>
    <phoneticPr fontId="2" type="noConversion"/>
  </si>
  <si>
    <t>김지향</t>
    <phoneticPr fontId="2" type="noConversion"/>
  </si>
  <si>
    <t>055-970-7202</t>
    <phoneticPr fontId="2" type="noConversion"/>
  </si>
  <si>
    <t>제4회 산청생초국제조각공원꽃잔디축제</t>
    <phoneticPr fontId="2" type="noConversion"/>
  </si>
  <si>
    <t>산청생초국제조각공원일원</t>
    <phoneticPr fontId="2" type="noConversion"/>
  </si>
  <si>
    <t>산청군 생초면</t>
    <phoneticPr fontId="2" type="noConversion"/>
  </si>
  <si>
    <t>단성유채꽃축제</t>
    <phoneticPr fontId="2" type="noConversion"/>
  </si>
  <si>
    <t>산청경호강변 일원</t>
    <phoneticPr fontId="2" type="noConversion"/>
  </si>
  <si>
    <t>산청군 단성면</t>
    <phoneticPr fontId="2" type="noConversion"/>
  </si>
  <si>
    <t>산청경호강물페스티벌</t>
    <phoneticPr fontId="2" type="noConversion"/>
  </si>
  <si>
    <t>산청군관광진흥과/서경방송</t>
    <phoneticPr fontId="2" type="noConversion"/>
  </si>
  <si>
    <t>산청한방약초축제</t>
    <phoneticPr fontId="2" type="noConversion"/>
  </si>
  <si>
    <t>산청IC축제광장 및 동의보감촌</t>
  </si>
  <si>
    <t>한방항노화과/산청한방약초축제위원회</t>
    <phoneticPr fontId="2" type="noConversion"/>
  </si>
  <si>
    <t>정민주</t>
    <phoneticPr fontId="2" type="noConversion"/>
  </si>
  <si>
    <t>055-970-6603</t>
    <phoneticPr fontId="2" type="noConversion"/>
  </si>
  <si>
    <t>제16회 기산국악제전</t>
    <phoneticPr fontId="2" type="noConversion"/>
  </si>
  <si>
    <t>기산국악당 일원</t>
    <phoneticPr fontId="2" type="noConversion"/>
  </si>
  <si>
    <t>기산국악제전위원회</t>
    <phoneticPr fontId="2" type="noConversion"/>
  </si>
  <si>
    <t>김선이</t>
    <phoneticPr fontId="2" type="noConversion"/>
  </si>
  <si>
    <t>055-970-6401</t>
    <phoneticPr fontId="2" type="noConversion"/>
  </si>
  <si>
    <t>제46회 남명선비문화축제</t>
    <phoneticPr fontId="2" type="noConversion"/>
  </si>
  <si>
    <t>한국선비문화연구원일원</t>
    <phoneticPr fontId="2" type="noConversion"/>
  </si>
  <si>
    <t>선비문화축제집행위원회</t>
    <phoneticPr fontId="2" type="noConversion"/>
  </si>
  <si>
    <t>함양군</t>
    <phoneticPr fontId="2" type="noConversion"/>
  </si>
  <si>
    <t>제61회 천령문화제</t>
    <phoneticPr fontId="2" type="noConversion"/>
  </si>
  <si>
    <t>ㅇ 문화예술
ㅇ 전통역사</t>
    <phoneticPr fontId="2" type="noConversion"/>
  </si>
  <si>
    <t>함양상림공원일원</t>
    <phoneticPr fontId="2" type="noConversion"/>
  </si>
  <si>
    <t>천령문화제
위원회</t>
    <phoneticPr fontId="2" type="noConversion"/>
  </si>
  <si>
    <t>함양군 문화예술 진흥 지원조례 4조</t>
    <phoneticPr fontId="2" type="noConversion"/>
  </si>
  <si>
    <t>노형준</t>
    <phoneticPr fontId="2" type="noConversion"/>
  </si>
  <si>
    <t>055-960-4512</t>
    <phoneticPr fontId="2" type="noConversion"/>
  </si>
  <si>
    <t>함양산삼축제</t>
    <phoneticPr fontId="2" type="noConversion"/>
  </si>
  <si>
    <t>09.02.~09.11.</t>
    <phoneticPr fontId="2" type="noConversion"/>
  </si>
  <si>
    <t>함양산삼축제위원회</t>
    <phoneticPr fontId="2" type="noConversion"/>
  </si>
  <si>
    <t>함양군 산림자원 소득증대 사업 지원조례 5조</t>
    <phoneticPr fontId="2" type="noConversion"/>
  </si>
  <si>
    <t>최경남</t>
    <phoneticPr fontId="2" type="noConversion"/>
  </si>
  <si>
    <t>055-960-6443</t>
    <phoneticPr fontId="2" type="noConversion"/>
  </si>
  <si>
    <t>거창군</t>
    <phoneticPr fontId="2" type="noConversion"/>
  </si>
  <si>
    <t>거창산양삼축제</t>
    <phoneticPr fontId="2" type="noConversion"/>
  </si>
  <si>
    <t>5월경(3일간)</t>
    <phoneticPr fontId="2" type="noConversion"/>
  </si>
  <si>
    <t>거창스포츠파크</t>
    <phoneticPr fontId="2" type="noConversion"/>
  </si>
  <si>
    <t>거창군 산림자원 소득증대 사업 지원 조례</t>
    <phoneticPr fontId="2" type="noConversion"/>
  </si>
  <si>
    <t>한창환</t>
    <phoneticPr fontId="2" type="noConversion"/>
  </si>
  <si>
    <t>055-940-3463</t>
    <phoneticPr fontId="2" type="noConversion"/>
  </si>
  <si>
    <t>제32회거창국제연극제</t>
    <phoneticPr fontId="2" type="noConversion"/>
  </si>
  <si>
    <t>7.22~8.5</t>
    <phoneticPr fontId="2" type="noConversion"/>
  </si>
  <si>
    <t>수승대관광지, 거창관내일원</t>
    <phoneticPr fontId="2" type="noConversion"/>
  </si>
  <si>
    <t>거창문화재단</t>
    <phoneticPr fontId="2" type="noConversion"/>
  </si>
  <si>
    <t>거창군 거창문화재단 설립 및 운영조혜</t>
    <phoneticPr fontId="2" type="noConversion"/>
  </si>
  <si>
    <t>이경애</t>
    <phoneticPr fontId="2" type="noConversion"/>
  </si>
  <si>
    <t>055-940-8455</t>
    <phoneticPr fontId="2" type="noConversion"/>
  </si>
  <si>
    <t>2022 거창한마당대축제</t>
    <phoneticPr fontId="2" type="noConversion"/>
  </si>
  <si>
    <t>9.22 ~ 9.25</t>
    <phoneticPr fontId="2" type="noConversion"/>
  </si>
  <si>
    <t>거창군 일원</t>
    <phoneticPr fontId="2" type="noConversion"/>
  </si>
  <si>
    <t>최연욱</t>
    <phoneticPr fontId="2" type="noConversion"/>
  </si>
  <si>
    <t>055-940-8452</t>
    <phoneticPr fontId="2" type="noConversion"/>
  </si>
  <si>
    <t>감악산 꽃&amp;별 여행</t>
    <phoneticPr fontId="2" type="noConversion"/>
  </si>
  <si>
    <t>10월 초</t>
    <phoneticPr fontId="2" type="noConversion"/>
  </si>
  <si>
    <t>감악산 인근</t>
    <phoneticPr fontId="2" type="noConversion"/>
  </si>
  <si>
    <t>우가희</t>
    <phoneticPr fontId="2" type="noConversion"/>
  </si>
  <si>
    <t>055-940-8284</t>
    <phoneticPr fontId="2" type="noConversion"/>
  </si>
  <si>
    <t>합천군</t>
    <phoneticPr fontId="2" type="noConversion"/>
  </si>
  <si>
    <t>제25회 황매산 철쭉제</t>
    <phoneticPr fontId="2" type="noConversion"/>
  </si>
  <si>
    <t>05.01.~05.15.</t>
    <phoneticPr fontId="2" type="noConversion"/>
  </si>
  <si>
    <t>황매산</t>
    <phoneticPr fontId="2" type="noConversion"/>
  </si>
  <si>
    <t>황매산 철쭉영농조합법인</t>
    <phoneticPr fontId="2" type="noConversion"/>
  </si>
  <si>
    <t>황매산축제위원회 회칙</t>
    <phoneticPr fontId="2" type="noConversion"/>
  </si>
  <si>
    <t>조미정</t>
    <phoneticPr fontId="2" type="noConversion"/>
  </si>
  <si>
    <t>055-930-4758</t>
    <phoneticPr fontId="2" type="noConversion"/>
  </si>
  <si>
    <t>제1회 황매산 억새 축제</t>
    <phoneticPr fontId="2" type="noConversion"/>
  </si>
  <si>
    <t>10.01.~10.31.</t>
    <phoneticPr fontId="2" type="noConversion"/>
  </si>
  <si>
    <t>합천군</t>
  </si>
  <si>
    <t>대야문화제</t>
  </si>
  <si>
    <t>10월 예정</t>
    <phoneticPr fontId="2" type="noConversion"/>
  </si>
  <si>
    <t>합천읍</t>
  </si>
  <si>
    <t>대야문화제전위</t>
  </si>
  <si>
    <t>문화예술진흥법 제3조
합천군문화예술진흥조례</t>
  </si>
  <si>
    <t>박혜진</t>
  </si>
  <si>
    <t>055-930-3173</t>
    <phoneticPr fontId="2" type="noConversion"/>
  </si>
  <si>
    <t>합천바캉스축제</t>
    <phoneticPr fontId="2" type="noConversion"/>
  </si>
  <si>
    <t>기타(관광축제)</t>
    <phoneticPr fontId="2" type="noConversion"/>
  </si>
  <si>
    <t>합천일원</t>
    <phoneticPr fontId="2" type="noConversion"/>
  </si>
  <si>
    <t>김수진</t>
    <phoneticPr fontId="2" type="noConversion"/>
  </si>
  <si>
    <t>055-930-4666</t>
    <phoneticPr fontId="2" type="noConversion"/>
  </si>
  <si>
    <t>경남</t>
  </si>
  <si>
    <t>합천기록문화축제</t>
  </si>
  <si>
    <t>대장경테마파크</t>
  </si>
  <si>
    <t>도승엽</t>
  </si>
  <si>
    <t>055-930-4696</t>
  </si>
  <si>
    <t>전남</t>
    <phoneticPr fontId="27" type="noConversion"/>
  </si>
  <si>
    <t>2022 명량대첩축제</t>
    <phoneticPr fontId="27" type="noConversion"/>
  </si>
  <si>
    <t>전통역사</t>
    <phoneticPr fontId="27" type="noConversion"/>
  </si>
  <si>
    <t>9.23.~9.25.</t>
    <phoneticPr fontId="27" type="noConversion"/>
  </si>
  <si>
    <t>울돌목 일원</t>
    <phoneticPr fontId="27" type="noConversion"/>
  </si>
  <si>
    <t>혼합형</t>
    <phoneticPr fontId="27" type="noConversion"/>
  </si>
  <si>
    <t>(재)명량대첩기념사업회</t>
  </si>
  <si>
    <t>재단법인</t>
    <phoneticPr fontId="27" type="noConversion"/>
  </si>
  <si>
    <t>전라남도 재단법인 명량대첩기념사업회 설립 및 지원 조례</t>
    <phoneticPr fontId="27" type="noConversion"/>
  </si>
  <si>
    <t>박화숙</t>
    <phoneticPr fontId="27" type="noConversion"/>
  </si>
  <si>
    <t>061-286-5261</t>
    <phoneticPr fontId="2" type="noConversion"/>
  </si>
  <si>
    <t>제28회 남도음식문화큰잔치</t>
    <phoneticPr fontId="2" type="noConversion"/>
  </si>
  <si>
    <t>특산물</t>
    <phoneticPr fontId="27" type="noConversion"/>
  </si>
  <si>
    <t>10.8.~10.10.</t>
    <phoneticPr fontId="2" type="noConversion"/>
  </si>
  <si>
    <t>여수세계박람회장 일원</t>
    <phoneticPr fontId="2" type="noConversion"/>
  </si>
  <si>
    <t>(재)남도음식문화큰잔치</t>
    <phoneticPr fontId="2" type="noConversion"/>
  </si>
  <si>
    <t>전라남도 재단법인 남도음식문화큰잔치 설립 및 운영 조례</t>
    <phoneticPr fontId="2" type="noConversion"/>
  </si>
  <si>
    <t>송하철</t>
    <phoneticPr fontId="2" type="noConversion"/>
  </si>
  <si>
    <t>061-286-5771</t>
    <phoneticPr fontId="2" type="noConversion"/>
  </si>
  <si>
    <t>목포시</t>
    <phoneticPr fontId="2" type="noConversion"/>
  </si>
  <si>
    <t>2022 목포유달산봄축제</t>
    <phoneticPr fontId="2" type="noConversion"/>
  </si>
  <si>
    <t>4.7~4.10.</t>
    <phoneticPr fontId="2" type="noConversion"/>
  </si>
  <si>
    <t>유달산 및 근대역사거리 일원</t>
    <phoneticPr fontId="2" type="noConversion"/>
  </si>
  <si>
    <t>목포시축제추진위원회</t>
    <phoneticPr fontId="2" type="noConversion"/>
  </si>
  <si>
    <t>목포축제추진위원회 설치 및 운영 조례</t>
    <phoneticPr fontId="2" type="noConversion"/>
  </si>
  <si>
    <t>김정환</t>
    <phoneticPr fontId="2" type="noConversion"/>
  </si>
  <si>
    <t>061-270-8432</t>
    <phoneticPr fontId="2" type="noConversion"/>
  </si>
  <si>
    <t>2022 목포항구축제</t>
    <phoneticPr fontId="2" type="noConversion"/>
  </si>
  <si>
    <t>10.13~10.16.</t>
    <phoneticPr fontId="2" type="noConversion"/>
  </si>
  <si>
    <t>목포항 및 삼학도 일원</t>
    <phoneticPr fontId="2" type="noConversion"/>
  </si>
  <si>
    <t>최성욱</t>
    <phoneticPr fontId="2" type="noConversion"/>
  </si>
  <si>
    <t>061-270-8441</t>
    <phoneticPr fontId="2" type="noConversion"/>
  </si>
  <si>
    <t>여수시</t>
    <phoneticPr fontId="2" type="noConversion"/>
  </si>
  <si>
    <t>제30회 여수영취산진달래체험행사</t>
    <phoneticPr fontId="2" type="noConversion"/>
  </si>
  <si>
    <t>3.25.~3.27.</t>
    <phoneticPr fontId="2" type="noConversion"/>
  </si>
  <si>
    <t>영취산 일원</t>
    <phoneticPr fontId="2" type="noConversion"/>
  </si>
  <si>
    <t>여수영취산진달래축제추진위원회</t>
    <phoneticPr fontId="2" type="noConversion"/>
  </si>
  <si>
    <t>여수시 축제운영위원회 설치 및 운영 조례</t>
    <phoneticPr fontId="2" type="noConversion"/>
  </si>
  <si>
    <t>김노을</t>
    <phoneticPr fontId="2" type="noConversion"/>
  </si>
  <si>
    <t>061-659-4742</t>
    <phoneticPr fontId="2" type="noConversion"/>
  </si>
  <si>
    <t>제56회 여수거북선축제</t>
    <phoneticPr fontId="2" type="noConversion"/>
  </si>
  <si>
    <t>5.6.~5.8.</t>
    <phoneticPr fontId="2" type="noConversion"/>
  </si>
  <si>
    <t>이순신광장 및 여수시 일원</t>
    <phoneticPr fontId="2" type="noConversion"/>
  </si>
  <si>
    <t>여수거북선축제추진위원회</t>
    <phoneticPr fontId="2" type="noConversion"/>
  </si>
  <si>
    <t>이영민</t>
    <phoneticPr fontId="2" type="noConversion"/>
  </si>
  <si>
    <t>061-659-4743</t>
    <phoneticPr fontId="2" type="noConversion"/>
  </si>
  <si>
    <t>제20회 거문도백도 은빛바다 체험행사</t>
    <phoneticPr fontId="2" type="noConversion"/>
  </si>
  <si>
    <t>8.12.~8.14.</t>
    <phoneticPr fontId="2" type="noConversion"/>
  </si>
  <si>
    <t>거문도 일원</t>
    <phoneticPr fontId="2" type="noConversion"/>
  </si>
  <si>
    <t>거문도백도은빛바다추진위원회</t>
    <phoneticPr fontId="2" type="noConversion"/>
  </si>
  <si>
    <t>2022 여수밤바다 불꽃축제</t>
    <phoneticPr fontId="2" type="noConversion"/>
  </si>
  <si>
    <t>이순신광장 및 장군도 앞 해상</t>
    <phoneticPr fontId="2" type="noConversion"/>
  </si>
  <si>
    <t>여수밤바다불꽃축제추진위원회</t>
    <phoneticPr fontId="2" type="noConversion"/>
  </si>
  <si>
    <t>여수여자만갯벌노을체험행사</t>
    <phoneticPr fontId="2" type="noConversion"/>
  </si>
  <si>
    <t>9.24.~9.25.</t>
    <phoneticPr fontId="2" type="noConversion"/>
  </si>
  <si>
    <t>소라면 장척마을 일원</t>
    <phoneticPr fontId="2" type="noConversion"/>
  </si>
  <si>
    <t>여수여자만갯벌노을체험행사추진위원회</t>
    <phoneticPr fontId="2" type="noConversion"/>
  </si>
  <si>
    <t>여수동동북축제</t>
    <phoneticPr fontId="2" type="noConversion"/>
  </si>
  <si>
    <t>용기공원, 선소 일원</t>
    <phoneticPr fontId="2" type="noConversion"/>
  </si>
  <si>
    <t>여수동동북축제추진위원회</t>
    <phoneticPr fontId="2" type="noConversion"/>
  </si>
  <si>
    <t>제27회 여수향일암일출제</t>
    <phoneticPr fontId="2" type="noConversion"/>
  </si>
  <si>
    <t>12.31.~23.1.1.</t>
    <phoneticPr fontId="2" type="noConversion"/>
  </si>
  <si>
    <t>돌산 임포마을 일원</t>
    <phoneticPr fontId="2" type="noConversion"/>
  </si>
  <si>
    <t>여수향일암일출제추진위원회</t>
    <phoneticPr fontId="2" type="noConversion"/>
  </si>
  <si>
    <t>순천시</t>
    <phoneticPr fontId="2" type="noConversion"/>
  </si>
  <si>
    <t>제6회 순천 푸드앤아트페스티벌</t>
    <phoneticPr fontId="2" type="noConversion"/>
  </si>
  <si>
    <t>9월~10월중(3일)</t>
    <phoneticPr fontId="2" type="noConversion"/>
  </si>
  <si>
    <t>순천 원도심 일원</t>
    <phoneticPr fontId="2" type="noConversion"/>
  </si>
  <si>
    <t>공공(시군)</t>
    <phoneticPr fontId="2" type="noConversion"/>
  </si>
  <si>
    <t>황인철</t>
    <phoneticPr fontId="2" type="noConversion"/>
  </si>
  <si>
    <t>061-749-5800</t>
    <phoneticPr fontId="2" type="noConversion"/>
  </si>
  <si>
    <t>제23회 순천만갈대축제</t>
    <phoneticPr fontId="2" type="noConversion"/>
  </si>
  <si>
    <t>10월~11월중(3일)</t>
    <phoneticPr fontId="2" type="noConversion"/>
  </si>
  <si>
    <t>순천만습지일원</t>
    <phoneticPr fontId="2" type="noConversion"/>
  </si>
  <si>
    <t>천지예</t>
    <phoneticPr fontId="2" type="noConversion"/>
  </si>
  <si>
    <t>061-749-6081</t>
    <phoneticPr fontId="2" type="noConversion"/>
  </si>
  <si>
    <t>제27회 낙안읍성 민속문화축제</t>
    <phoneticPr fontId="2" type="noConversion"/>
  </si>
  <si>
    <t>전통역사</t>
    <phoneticPr fontId="14" type="noConversion"/>
  </si>
  <si>
    <t>10.21.~10.23.</t>
    <phoneticPr fontId="2" type="noConversion"/>
  </si>
  <si>
    <t>낙안읍성</t>
    <phoneticPr fontId="2" type="noConversion"/>
  </si>
  <si>
    <t>낙안읍성보존회</t>
    <phoneticPr fontId="2" type="noConversion"/>
  </si>
  <si>
    <t>순천시 낙안읍성 관리 운영 조례</t>
    <phoneticPr fontId="2" type="noConversion"/>
  </si>
  <si>
    <t>061-749-8838</t>
    <phoneticPr fontId="2" type="noConversion"/>
  </si>
  <si>
    <t>제17회순천명품
월등복숭아체험행사</t>
    <phoneticPr fontId="2" type="noConversion"/>
  </si>
  <si>
    <t>8.6~8.7.(2일)</t>
    <phoneticPr fontId="2" type="noConversion"/>
  </si>
  <si>
    <t>월등면 
잔디광장</t>
    <phoneticPr fontId="2" type="noConversion"/>
  </si>
  <si>
    <t>순천명품월등복숭아
체험행사추진위원회</t>
    <phoneticPr fontId="2" type="noConversion"/>
  </si>
  <si>
    <t>서대석</t>
    <phoneticPr fontId="2" type="noConversion"/>
  </si>
  <si>
    <t>061-749-8722</t>
    <phoneticPr fontId="2" type="noConversion"/>
  </si>
  <si>
    <t>나주시</t>
    <phoneticPr fontId="2" type="noConversion"/>
  </si>
  <si>
    <t>대한민국 마한문화제</t>
    <phoneticPr fontId="2" type="noConversion"/>
  </si>
  <si>
    <t>국립나주박물관 일원</t>
    <phoneticPr fontId="2" type="noConversion"/>
  </si>
  <si>
    <t>나주마한문화축제추진위원회</t>
    <phoneticPr fontId="2" type="noConversion"/>
  </si>
  <si>
    <t>나주시 지역축제 운영 조례</t>
    <phoneticPr fontId="2" type="noConversion"/>
  </si>
  <si>
    <t>박진아</t>
    <phoneticPr fontId="2" type="noConversion"/>
  </si>
  <si>
    <t>061-339-8722</t>
    <phoneticPr fontId="2" type="noConversion"/>
  </si>
  <si>
    <t>영산포 홍어축제</t>
    <phoneticPr fontId="2" type="noConversion"/>
  </si>
  <si>
    <t>영산강둔치체육공원 일원</t>
    <phoneticPr fontId="2" type="noConversion"/>
  </si>
  <si>
    <t>영산포홍어축제추진위원회</t>
    <phoneticPr fontId="2" type="noConversion"/>
  </si>
  <si>
    <t>천년나주목읍성문화축제</t>
    <phoneticPr fontId="2" type="noConversion"/>
  </si>
  <si>
    <t>금성관 및 나주향교 일원</t>
    <phoneticPr fontId="2" type="noConversion"/>
  </si>
  <si>
    <t>천년나주목읍성문화축제추진위원회</t>
    <phoneticPr fontId="2" type="noConversion"/>
  </si>
  <si>
    <t>광양시</t>
    <phoneticPr fontId="2" type="noConversion"/>
  </si>
  <si>
    <t>광양매화축제</t>
    <phoneticPr fontId="2" type="noConversion"/>
  </si>
  <si>
    <t>3월중(9~10일)</t>
    <phoneticPr fontId="2" type="noConversion"/>
  </si>
  <si>
    <t>매화마을 일원</t>
    <phoneticPr fontId="2" type="noConversion"/>
  </si>
  <si>
    <t>광양매화축제위원회</t>
    <phoneticPr fontId="2" type="noConversion"/>
  </si>
  <si>
    <t>광양시 축제 발전 및 운영 조례</t>
    <phoneticPr fontId="2" type="noConversion"/>
  </si>
  <si>
    <t>서화정</t>
    <phoneticPr fontId="2" type="noConversion"/>
  </si>
  <si>
    <t>061-797-2721</t>
    <phoneticPr fontId="2" type="noConversion"/>
  </si>
  <si>
    <t>백운산국사봉철쭉축제</t>
  </si>
  <si>
    <t>4월중(3일)</t>
    <phoneticPr fontId="2" type="noConversion"/>
  </si>
  <si>
    <t>옥곡면 일원</t>
    <phoneticPr fontId="2" type="noConversion"/>
  </si>
  <si>
    <t>백운산국사복철쭉축제추진위원회</t>
    <phoneticPr fontId="2" type="noConversion"/>
  </si>
  <si>
    <t>(가칭)광양2022 K-POP 슈퍼 페스티벌</t>
    <phoneticPr fontId="2" type="noConversion"/>
  </si>
  <si>
    <t>5월중(3일)</t>
    <phoneticPr fontId="2" type="noConversion"/>
  </si>
  <si>
    <t>중마동 일원</t>
    <phoneticPr fontId="2" type="noConversion"/>
  </si>
  <si>
    <t>양인경</t>
    <phoneticPr fontId="2" type="noConversion"/>
  </si>
  <si>
    <t>061-797-3714</t>
    <phoneticPr fontId="2" type="noConversion"/>
  </si>
  <si>
    <t xml:space="preserve"> 광양전어축제</t>
  </si>
  <si>
    <t>8월중(3일)</t>
    <phoneticPr fontId="2" type="noConversion"/>
  </si>
  <si>
    <t>진월면 일원</t>
    <phoneticPr fontId="2" type="noConversion"/>
  </si>
  <si>
    <t>광양전어축제추진위원회</t>
    <phoneticPr fontId="2" type="noConversion"/>
  </si>
  <si>
    <t>광양전통숯불구이축제</t>
  </si>
  <si>
    <t>10월중(3~4일)</t>
    <phoneticPr fontId="2" type="noConversion"/>
  </si>
  <si>
    <t>광양읍 서천변 일원</t>
    <phoneticPr fontId="2" type="noConversion"/>
  </si>
  <si>
    <t>광양전통숯불구이축제추진위원회</t>
    <phoneticPr fontId="2" type="noConversion"/>
  </si>
  <si>
    <t>담양군</t>
    <phoneticPr fontId="2" type="noConversion"/>
  </si>
  <si>
    <t>제22회 담양대나무축제</t>
    <phoneticPr fontId="2" type="noConversion"/>
  </si>
  <si>
    <t>5.2.~5.8(7일)</t>
    <phoneticPr fontId="2" type="noConversion"/>
  </si>
  <si>
    <t>죽녹원, 관방제림</t>
    <phoneticPr fontId="2" type="noConversion"/>
  </si>
  <si>
    <t>(사)담양대나무축제위원회</t>
    <phoneticPr fontId="2" type="noConversion"/>
  </si>
  <si>
    <t>담양군 축제 지원 및 운영 조례</t>
    <phoneticPr fontId="2" type="noConversion"/>
  </si>
  <si>
    <t>김원</t>
    <phoneticPr fontId="2" type="noConversion"/>
  </si>
  <si>
    <t>061-380-3152</t>
    <phoneticPr fontId="2" type="noConversion"/>
  </si>
  <si>
    <t>용면추월산벚꽃축제</t>
    <phoneticPr fontId="2" type="noConversion"/>
  </si>
  <si>
    <t>추월산 광장 일원</t>
    <phoneticPr fontId="2" type="noConversion"/>
  </si>
  <si>
    <t>용면청년회</t>
    <phoneticPr fontId="2" type="noConversion"/>
  </si>
  <si>
    <t>창평전통음식축제</t>
    <phoneticPr fontId="2" type="noConversion"/>
  </si>
  <si>
    <t>슬로시티방문자센터 일원</t>
    <phoneticPr fontId="2" type="noConversion"/>
  </si>
  <si>
    <t>창평면주민자치회</t>
    <phoneticPr fontId="2" type="noConversion"/>
  </si>
  <si>
    <t>담양산타축제</t>
    <phoneticPr fontId="2" type="noConversion"/>
  </si>
  <si>
    <t>12월중(10일)</t>
    <phoneticPr fontId="2" type="noConversion"/>
  </si>
  <si>
    <t xml:space="preserve">원도심, 메타프로방스 </t>
    <phoneticPr fontId="2" type="noConversion"/>
  </si>
  <si>
    <t>담양산타축제추진위원회</t>
    <phoneticPr fontId="2" type="noConversion"/>
  </si>
  <si>
    <t>곡성군</t>
    <phoneticPr fontId="2" type="noConversion"/>
  </si>
  <si>
    <t>제12회 곡성세계장미축제</t>
    <phoneticPr fontId="2" type="noConversion"/>
  </si>
  <si>
    <t>5.21.~6.6.</t>
    <phoneticPr fontId="2" type="noConversion"/>
  </si>
  <si>
    <t>섬진강기차마을</t>
    <phoneticPr fontId="2" type="noConversion"/>
  </si>
  <si>
    <t>정지영</t>
    <phoneticPr fontId="2" type="noConversion"/>
  </si>
  <si>
    <t>061-360-8472</t>
    <phoneticPr fontId="2" type="noConversion"/>
  </si>
  <si>
    <t>(가칭)제1회 아이스멜론 페스티벌</t>
    <phoneticPr fontId="2" type="noConversion"/>
  </si>
  <si>
    <t>7.8.~7.10.</t>
    <phoneticPr fontId="2" type="noConversion"/>
  </si>
  <si>
    <t>곡성레저문화센터</t>
    <phoneticPr fontId="2" type="noConversion"/>
  </si>
  <si>
    <t>제22회 곡성심청어린이대축제</t>
    <phoneticPr fontId="2" type="noConversion"/>
  </si>
  <si>
    <t>10.21.~10.30.</t>
    <phoneticPr fontId="2" type="noConversion"/>
  </si>
  <si>
    <t>구례군</t>
    <phoneticPr fontId="2" type="noConversion"/>
  </si>
  <si>
    <t>제23회 구례산수유꽃축제</t>
    <phoneticPr fontId="2" type="noConversion"/>
  </si>
  <si>
    <t>3.12.~3.20.</t>
    <phoneticPr fontId="2" type="noConversion"/>
  </si>
  <si>
    <t>산동면 지리산온천관광지 일원</t>
    <phoneticPr fontId="2" type="noConversion"/>
  </si>
  <si>
    <t>구례산수유꽃축제추진위원회</t>
    <phoneticPr fontId="2" type="noConversion"/>
  </si>
  <si>
    <t>구례군 축제추진위원회 설치 및 운영 등에 관한 조례</t>
    <phoneticPr fontId="2" type="noConversion"/>
  </si>
  <si>
    <t>권미숙</t>
    <phoneticPr fontId="2" type="noConversion"/>
  </si>
  <si>
    <t>061-780-2390</t>
    <phoneticPr fontId="2" type="noConversion"/>
  </si>
  <si>
    <t>제18회 구례섬진강벚꽃축제</t>
    <phoneticPr fontId="2" type="noConversion"/>
  </si>
  <si>
    <t>문척면 오섬권역 일원</t>
    <phoneticPr fontId="2" type="noConversion"/>
  </si>
  <si>
    <t>섬진강벚꽃축제추진위원회</t>
    <phoneticPr fontId="2" type="noConversion"/>
  </si>
  <si>
    <t>구례군 관광진흥에 관한 조례</t>
    <phoneticPr fontId="2" type="noConversion"/>
  </si>
  <si>
    <t>이동현</t>
    <phoneticPr fontId="2" type="noConversion"/>
  </si>
  <si>
    <t>061-780-2255</t>
    <phoneticPr fontId="2" type="noConversion"/>
  </si>
  <si>
    <t>제78회 지리산남악제 및 군민의 날 행사</t>
    <phoneticPr fontId="2" type="noConversion"/>
  </si>
  <si>
    <t>마산면 화엄사지구 일원</t>
    <phoneticPr fontId="2" type="noConversion"/>
  </si>
  <si>
    <t>지리산남악제 및 군민의날 행사 추진위원회</t>
    <phoneticPr fontId="2" type="noConversion"/>
  </si>
  <si>
    <t>정선주</t>
    <phoneticPr fontId="2" type="noConversion"/>
  </si>
  <si>
    <t>061-780-2431</t>
    <phoneticPr fontId="2" type="noConversion"/>
  </si>
  <si>
    <t>구례뮤직페스티벌</t>
    <phoneticPr fontId="2" type="noConversion"/>
  </si>
  <si>
    <t>구례읍 공설운동장 일원</t>
    <phoneticPr fontId="2" type="noConversion"/>
  </si>
  <si>
    <t>(사)구례자연드림파크 입주기업체협의회</t>
    <phoneticPr fontId="2" type="noConversion"/>
  </si>
  <si>
    <t>화엄음악제</t>
    <phoneticPr fontId="2" type="noConversion"/>
  </si>
  <si>
    <t>마산면 화엄사 일원</t>
    <phoneticPr fontId="2" type="noConversion"/>
  </si>
  <si>
    <t>화엄음악제집행위원회</t>
    <phoneticPr fontId="2" type="noConversion"/>
  </si>
  <si>
    <t>구례군 문화예술 육성 및 지원에 관한 조례</t>
    <phoneticPr fontId="2" type="noConversion"/>
  </si>
  <si>
    <t>제14회 구례동편소리축제</t>
    <phoneticPr fontId="2" type="noConversion"/>
  </si>
  <si>
    <t>구례서시천체육공원 일원</t>
    <phoneticPr fontId="2" type="noConversion"/>
  </si>
  <si>
    <t>구례동편소리축제추진위원회</t>
    <phoneticPr fontId="2" type="noConversion"/>
  </si>
  <si>
    <t>제46회 지리산피아골단풍축제</t>
    <phoneticPr fontId="2" type="noConversion"/>
  </si>
  <si>
    <t>토지면 피아골 일원</t>
    <phoneticPr fontId="2" type="noConversion"/>
  </si>
  <si>
    <t>지리산피아골단풍축제추진위원회</t>
    <phoneticPr fontId="2" type="noConversion"/>
  </si>
  <si>
    <t>구례산수유웰니스페스티벌</t>
    <phoneticPr fontId="2" type="noConversion"/>
  </si>
  <si>
    <t>고흥군</t>
    <phoneticPr fontId="2" type="noConversion"/>
  </si>
  <si>
    <t>제13회 고흥우주항공축제</t>
    <phoneticPr fontId="14" type="noConversion"/>
  </si>
  <si>
    <t>5.5.~5.8.</t>
    <phoneticPr fontId="2" type="noConversion"/>
  </si>
  <si>
    <t>나로우주과학관 일원</t>
    <phoneticPr fontId="2" type="noConversion"/>
  </si>
  <si>
    <t>고흥군축제추진위원회</t>
    <phoneticPr fontId="2" type="noConversion"/>
  </si>
  <si>
    <t>고흥군 지역축제 운영에 관한 조례</t>
    <phoneticPr fontId="2" type="noConversion"/>
  </si>
  <si>
    <t>김종훈</t>
    <phoneticPr fontId="2" type="noConversion"/>
  </si>
  <si>
    <t>061-830-5658</t>
    <phoneticPr fontId="2" type="noConversion"/>
  </si>
  <si>
    <t>제20회 고흥 녹동 바다불꽃축제</t>
    <phoneticPr fontId="14" type="noConversion"/>
  </si>
  <si>
    <t>녹동항구</t>
    <phoneticPr fontId="2" type="noConversion"/>
  </si>
  <si>
    <t>녹동청년회의소</t>
    <phoneticPr fontId="2" type="noConversion"/>
  </si>
  <si>
    <t>제2회 고흥 유자 석류축제</t>
    <phoneticPr fontId="14" type="noConversion"/>
  </si>
  <si>
    <t>11.3~11.6.</t>
    <phoneticPr fontId="2" type="noConversion"/>
  </si>
  <si>
    <t>풍양면 한동리 701-7 일원</t>
    <phoneticPr fontId="2" type="noConversion"/>
  </si>
  <si>
    <t>보성군</t>
    <phoneticPr fontId="2" type="noConversion"/>
  </si>
  <si>
    <t>보성다향대축제</t>
  </si>
  <si>
    <t>4.15.~4.21.</t>
    <phoneticPr fontId="2" type="noConversion"/>
  </si>
  <si>
    <t>차문화공원</t>
    <phoneticPr fontId="2" type="noConversion"/>
  </si>
  <si>
    <t>보성다향대축제추진위원회</t>
    <phoneticPr fontId="14" type="noConversion"/>
  </si>
  <si>
    <t>보성군 지역축제 지원 및 운영조례</t>
    <phoneticPr fontId="2" type="noConversion"/>
  </si>
  <si>
    <t>정상준</t>
    <phoneticPr fontId="2" type="noConversion"/>
  </si>
  <si>
    <t>061-850-5211</t>
    <phoneticPr fontId="2" type="noConversion"/>
  </si>
  <si>
    <t>서편제보성소리축제</t>
  </si>
  <si>
    <t>4.15.~4.17.</t>
    <phoneticPr fontId="2" type="noConversion"/>
  </si>
  <si>
    <t>문화예술회관</t>
    <phoneticPr fontId="2" type="noConversion"/>
  </si>
  <si>
    <t>서편제보성소리축제추진위원회</t>
    <phoneticPr fontId="14" type="noConversion"/>
  </si>
  <si>
    <t>윤희진</t>
    <phoneticPr fontId="2" type="noConversion"/>
  </si>
  <si>
    <t>061-850-5202</t>
    <phoneticPr fontId="2" type="noConversion"/>
  </si>
  <si>
    <t>보성전어축제</t>
  </si>
  <si>
    <t>율포해변</t>
    <phoneticPr fontId="2" type="noConversion"/>
  </si>
  <si>
    <t>보성전어축제추진위원회</t>
    <phoneticPr fontId="14" type="noConversion"/>
  </si>
  <si>
    <t>벌교꼬막&amp;문학축제</t>
  </si>
  <si>
    <t>벌교읍 거리</t>
    <phoneticPr fontId="2" type="noConversion"/>
  </si>
  <si>
    <t>벌교꼬막&amp;문학축제추진위원회</t>
    <phoneticPr fontId="14" type="noConversion"/>
  </si>
  <si>
    <t>보성차밭빛축제</t>
  </si>
  <si>
    <t>율포해변 불꽃축제</t>
    <phoneticPr fontId="14" type="noConversion"/>
  </si>
  <si>
    <t>12.31.~'22.1.1.</t>
    <phoneticPr fontId="2" type="noConversion"/>
  </si>
  <si>
    <t>화순군</t>
    <phoneticPr fontId="2" type="noConversion"/>
  </si>
  <si>
    <t>화순 국화향연</t>
    <phoneticPr fontId="14" type="noConversion"/>
  </si>
  <si>
    <t>10~11월(17일)</t>
    <phoneticPr fontId="2" type="noConversion"/>
  </si>
  <si>
    <t>화순 남산공원</t>
    <phoneticPr fontId="2" type="noConversion"/>
  </si>
  <si>
    <t>화순군 축제발전 및 운영에 관한 조례</t>
    <phoneticPr fontId="2" type="noConversion"/>
  </si>
  <si>
    <t>곽지수</t>
    <phoneticPr fontId="2" type="noConversion"/>
  </si>
  <si>
    <t>061-379-3575</t>
    <phoneticPr fontId="2" type="noConversion"/>
  </si>
  <si>
    <t>적벽 문화제</t>
    <phoneticPr fontId="14" type="noConversion"/>
  </si>
  <si>
    <t>10월중(2일)</t>
    <phoneticPr fontId="2" type="noConversion"/>
  </si>
  <si>
    <t>이서커뮤니티센터,
적벽 망향정</t>
    <phoneticPr fontId="2" type="noConversion"/>
  </si>
  <si>
    <t>적벽문화축제추진위원회</t>
    <phoneticPr fontId="2" type="noConversion"/>
  </si>
  <si>
    <t>김두정</t>
    <phoneticPr fontId="2" type="noConversion"/>
  </si>
  <si>
    <t>061-379-3576</t>
    <phoneticPr fontId="2" type="noConversion"/>
  </si>
  <si>
    <t>고인돌 문화축제　　　　</t>
    <phoneticPr fontId="14" type="noConversion"/>
  </si>
  <si>
    <t>4.16.~17.</t>
    <phoneticPr fontId="2" type="noConversion"/>
  </si>
  <si>
    <t>고인돌유적지</t>
    <phoneticPr fontId="2" type="noConversion"/>
  </si>
  <si>
    <t>고화순고인돌문화축제추진위원회</t>
    <phoneticPr fontId="2" type="noConversion"/>
  </si>
  <si>
    <t>동구리 호수공원 봄축제　</t>
    <phoneticPr fontId="14" type="noConversion"/>
  </si>
  <si>
    <t>4.30.~5.1.</t>
    <phoneticPr fontId="2" type="noConversion"/>
  </si>
  <si>
    <t>동구리 호수공원</t>
    <phoneticPr fontId="2" type="noConversion"/>
  </si>
  <si>
    <t>화순읍청년연합회</t>
    <phoneticPr fontId="2" type="noConversion"/>
  </si>
  <si>
    <t>운주 문화축제　　　　</t>
    <phoneticPr fontId="14" type="noConversion"/>
  </si>
  <si>
    <t>5월중(2일)</t>
    <phoneticPr fontId="2" type="noConversion"/>
  </si>
  <si>
    <t>운주사</t>
    <phoneticPr fontId="2" type="noConversion"/>
  </si>
  <si>
    <t>화순운주문화축제추진위원회</t>
    <phoneticPr fontId="2" type="noConversion"/>
  </si>
  <si>
    <t>백아산 철쭉제　　　　</t>
    <phoneticPr fontId="14" type="noConversion"/>
  </si>
  <si>
    <t>5.6.~5.7.</t>
    <phoneticPr fontId="2" type="noConversion"/>
  </si>
  <si>
    <t>백아산</t>
    <phoneticPr fontId="2" type="noConversion"/>
  </si>
  <si>
    <t>백아면청년회</t>
    <phoneticPr fontId="2" type="noConversion"/>
  </si>
  <si>
    <t>장흥군</t>
    <phoneticPr fontId="2" type="noConversion"/>
  </si>
  <si>
    <t>2022 정남진장흥키조개축제</t>
    <phoneticPr fontId="2" type="noConversion"/>
  </si>
  <si>
    <t>5월초</t>
    <phoneticPr fontId="2" type="noConversion"/>
  </si>
  <si>
    <t>수문항 일원</t>
    <phoneticPr fontId="2" type="noConversion"/>
  </si>
  <si>
    <t>황의창</t>
    <phoneticPr fontId="2" type="noConversion"/>
  </si>
  <si>
    <t>061-860-5992</t>
    <phoneticPr fontId="2" type="noConversion"/>
  </si>
  <si>
    <t>제15회 정남진장흥물축제</t>
    <phoneticPr fontId="2" type="noConversion"/>
  </si>
  <si>
    <t>7.30.~8.7.</t>
    <phoneticPr fontId="2" type="noConversion"/>
  </si>
  <si>
    <t>탐진강변</t>
    <phoneticPr fontId="2" type="noConversion"/>
  </si>
  <si>
    <t>장흥물축제추진위원회</t>
    <phoneticPr fontId="2" type="noConversion"/>
  </si>
  <si>
    <t>정남진물축제 운영 조례</t>
    <phoneticPr fontId="2" type="noConversion"/>
  </si>
  <si>
    <t>전희석</t>
    <phoneticPr fontId="2" type="noConversion"/>
  </si>
  <si>
    <t>061-860-5771</t>
    <phoneticPr fontId="2" type="noConversion"/>
  </si>
  <si>
    <t>2022 장평명품호두축제</t>
    <phoneticPr fontId="2" type="noConversion"/>
  </si>
  <si>
    <t>장평면행정복지센터 광장</t>
    <phoneticPr fontId="2" type="noConversion"/>
  </si>
  <si>
    <t>염세경</t>
    <phoneticPr fontId="2" type="noConversion"/>
  </si>
  <si>
    <t>061-860-6091</t>
    <phoneticPr fontId="2" type="noConversion"/>
  </si>
  <si>
    <t>2022 회령포문화축제</t>
    <phoneticPr fontId="2" type="noConversion"/>
  </si>
  <si>
    <t>회진항 일원</t>
    <phoneticPr fontId="2" type="noConversion"/>
  </si>
  <si>
    <t>오시온</t>
    <phoneticPr fontId="2" type="noConversion"/>
  </si>
  <si>
    <t>061-860-5763</t>
    <phoneticPr fontId="2" type="noConversion"/>
  </si>
  <si>
    <t>2022 장흥표고버섯축제</t>
    <phoneticPr fontId="2" type="noConversion"/>
  </si>
  <si>
    <t>유치면 행정복지센터 일원</t>
    <phoneticPr fontId="2" type="noConversion"/>
  </si>
  <si>
    <t>강진군</t>
    <phoneticPr fontId="2" type="noConversion"/>
  </si>
  <si>
    <t>제5회 강진군동금곡사 벚꽃30리길 축제</t>
    <phoneticPr fontId="2" type="noConversion"/>
  </si>
  <si>
    <t>4.1~4.3.</t>
    <phoneticPr fontId="2" type="noConversion"/>
  </si>
  <si>
    <t>군동면 까치내로 일원</t>
    <phoneticPr fontId="2" type="noConversion"/>
  </si>
  <si>
    <t>강진금곡사벚꽃30리길축제추진위원회</t>
    <phoneticPr fontId="2" type="noConversion"/>
  </si>
  <si>
    <t>강진군 축제 운영 및 지원 등에 관한 조례</t>
    <phoneticPr fontId="2" type="noConversion"/>
  </si>
  <si>
    <t>천영욱</t>
    <phoneticPr fontId="2" type="noConversion"/>
  </si>
  <si>
    <t>061-430-3354</t>
    <phoneticPr fontId="2" type="noConversion"/>
  </si>
  <si>
    <t>제25회 전라병영성축제</t>
    <phoneticPr fontId="2" type="noConversion"/>
  </si>
  <si>
    <t>4.20.~4.24.</t>
    <phoneticPr fontId="2" type="noConversion"/>
  </si>
  <si>
    <t>병영면 전라병영성 일원</t>
    <phoneticPr fontId="2" type="noConversion"/>
  </si>
  <si>
    <t>강진군축제추진위원회</t>
    <phoneticPr fontId="2" type="noConversion"/>
  </si>
  <si>
    <t xml:space="preserve">강진군 </t>
    <phoneticPr fontId="2" type="noConversion"/>
  </si>
  <si>
    <t>제14회 마량 미항 찰전어축제</t>
    <phoneticPr fontId="2" type="noConversion"/>
  </si>
  <si>
    <t>9.16.~9.18.</t>
    <phoneticPr fontId="2" type="noConversion"/>
  </si>
  <si>
    <t>마량항 일원</t>
    <phoneticPr fontId="2" type="noConversion"/>
  </si>
  <si>
    <t>마량미항축제추진위원회</t>
    <phoneticPr fontId="2" type="noConversion"/>
  </si>
  <si>
    <t>제50회 강진청자축제</t>
    <phoneticPr fontId="2" type="noConversion"/>
  </si>
  <si>
    <t>9.30.~10.6.</t>
    <phoneticPr fontId="2" type="noConversion"/>
  </si>
  <si>
    <t>대구면 청자촌</t>
    <phoneticPr fontId="2" type="noConversion"/>
  </si>
  <si>
    <t>김필순</t>
    <phoneticPr fontId="2" type="noConversion"/>
  </si>
  <si>
    <t>061-430-3352</t>
    <phoneticPr fontId="2" type="noConversion"/>
  </si>
  <si>
    <t>제7회 강진만춤추는 갈대축제</t>
    <phoneticPr fontId="2" type="noConversion"/>
  </si>
  <si>
    <t>10.28.~11.6.</t>
    <phoneticPr fontId="2" type="noConversion"/>
  </si>
  <si>
    <t>강진만 생태공원</t>
    <phoneticPr fontId="2" type="noConversion"/>
  </si>
  <si>
    <t>해남군</t>
    <phoneticPr fontId="27" type="noConversion"/>
  </si>
  <si>
    <t>제9회 땅끝매화축제</t>
    <phoneticPr fontId="27" type="noConversion"/>
  </si>
  <si>
    <t>생태자연</t>
    <phoneticPr fontId="27" type="noConversion"/>
  </si>
  <si>
    <t>3월중</t>
    <phoneticPr fontId="27" type="noConversion"/>
  </si>
  <si>
    <t>산이 보해매실농원</t>
    <phoneticPr fontId="27" type="noConversion"/>
  </si>
  <si>
    <t>대면</t>
    <phoneticPr fontId="27" type="noConversion"/>
  </si>
  <si>
    <t>산이면 문화체육진흥회</t>
    <phoneticPr fontId="27" type="noConversion"/>
  </si>
  <si>
    <t>이종윤</t>
    <phoneticPr fontId="27" type="noConversion"/>
  </si>
  <si>
    <t>061-530-5158</t>
    <phoneticPr fontId="27" type="noConversion"/>
  </si>
  <si>
    <t>2022 송호해변 여름축제</t>
    <phoneticPr fontId="27" type="noConversion"/>
  </si>
  <si>
    <t>7월~8월중</t>
    <phoneticPr fontId="27" type="noConversion"/>
  </si>
  <si>
    <t>송호해수욕장</t>
    <phoneticPr fontId="27" type="noConversion"/>
  </si>
  <si>
    <t>061-530-5158</t>
  </si>
  <si>
    <t>2022 오시아노 뮤직페스티벌</t>
    <phoneticPr fontId="27" type="noConversion"/>
  </si>
  <si>
    <t>문화예술</t>
    <phoneticPr fontId="27" type="noConversion"/>
  </si>
  <si>
    <t>8월중</t>
    <phoneticPr fontId="27" type="noConversion"/>
  </si>
  <si>
    <t>오시아노 관광단지</t>
    <phoneticPr fontId="27" type="noConversion"/>
  </si>
  <si>
    <t>제4회 해남미남축제</t>
    <phoneticPr fontId="27" type="noConversion"/>
  </si>
  <si>
    <t>10월말~11월초</t>
    <phoneticPr fontId="27" type="noConversion"/>
  </si>
  <si>
    <t>대흥사 일원</t>
    <phoneticPr fontId="27" type="noConversion"/>
  </si>
  <si>
    <t>해남군축제추진위원회</t>
    <phoneticPr fontId="27" type="noConversion"/>
  </si>
  <si>
    <t>민간단체</t>
    <phoneticPr fontId="27" type="noConversion"/>
  </si>
  <si>
    <t>해남군 축제 육성 및 지원 조례</t>
    <phoneticPr fontId="27" type="noConversion"/>
  </si>
  <si>
    <t>제25회 땅끝해넘이해맞이축제</t>
    <phoneticPr fontId="27" type="noConversion"/>
  </si>
  <si>
    <t>12.31.~'23.1.1.</t>
    <phoneticPr fontId="27" type="noConversion"/>
  </si>
  <si>
    <t>땅끝 관광지</t>
    <phoneticPr fontId="27" type="noConversion"/>
  </si>
  <si>
    <t>-</t>
    <phoneticPr fontId="27" type="noConversion"/>
  </si>
  <si>
    <t>땅끝해넘이해맞이축제추진위원회</t>
    <phoneticPr fontId="27" type="noConversion"/>
  </si>
  <si>
    <t>영암군</t>
    <phoneticPr fontId="2" type="noConversion"/>
  </si>
  <si>
    <t>영암왕인문화축제</t>
    <phoneticPr fontId="2" type="noConversion"/>
  </si>
  <si>
    <t>왕인박사유적지</t>
    <phoneticPr fontId="2" type="noConversion"/>
  </si>
  <si>
    <t>영암군향토축제추진위원회</t>
    <phoneticPr fontId="2" type="noConversion"/>
  </si>
  <si>
    <t>영암군 향토축제 운영 및 지원 등에 관한 조례</t>
    <phoneticPr fontId="2" type="noConversion"/>
  </si>
  <si>
    <t>문준선</t>
    <phoneticPr fontId="2" type="noConversion"/>
  </si>
  <si>
    <t>061-470-2259</t>
    <phoneticPr fontId="2" type="noConversion"/>
  </si>
  <si>
    <t>월출산국화축제</t>
    <phoneticPr fontId="2" type="noConversion"/>
  </si>
  <si>
    <t>월출산기찬랜드</t>
    <phoneticPr fontId="2" type="noConversion"/>
  </si>
  <si>
    <t>문준선</t>
  </si>
  <si>
    <t>061-470-2259</t>
  </si>
  <si>
    <t>마한축제</t>
    <phoneticPr fontId="2" type="noConversion"/>
  </si>
  <si>
    <t>마한문화공원</t>
    <phoneticPr fontId="2" type="noConversion"/>
  </si>
  <si>
    <t>마한촌 조성 및 마한축제추진위원회</t>
    <phoneticPr fontId="2" type="noConversion"/>
  </si>
  <si>
    <t>영암무화과축제</t>
    <phoneticPr fontId="2" type="noConversion"/>
  </si>
  <si>
    <t>삼호읍 문예체육행사추진위원회</t>
    <phoneticPr fontId="2" type="noConversion"/>
  </si>
  <si>
    <t>김병국</t>
    <phoneticPr fontId="2" type="noConversion"/>
  </si>
  <si>
    <t>061-470-2384</t>
    <phoneticPr fontId="2" type="noConversion"/>
  </si>
  <si>
    <t>무안군</t>
    <phoneticPr fontId="2" type="noConversion"/>
  </si>
  <si>
    <t>제25회 무안연꽃축제</t>
    <phoneticPr fontId="2" type="noConversion"/>
  </si>
  <si>
    <t>7월~8월(4일)</t>
    <phoneticPr fontId="2" type="noConversion"/>
  </si>
  <si>
    <t>회산 백련지</t>
    <phoneticPr fontId="2" type="noConversion"/>
  </si>
  <si>
    <t>무안군축제추진위원회</t>
    <phoneticPr fontId="2" type="noConversion"/>
  </si>
  <si>
    <t>무안군축제추진위원회 설치 및 운영조례</t>
    <phoneticPr fontId="2" type="noConversion"/>
  </si>
  <si>
    <t>박혜령</t>
    <phoneticPr fontId="2" type="noConversion"/>
  </si>
  <si>
    <t>061-450-5472</t>
    <phoneticPr fontId="2" type="noConversion"/>
  </si>
  <si>
    <t>제9회 무안황토갯벌축제</t>
    <phoneticPr fontId="2" type="noConversion"/>
  </si>
  <si>
    <t>9월중(3일)</t>
    <phoneticPr fontId="2" type="noConversion"/>
  </si>
  <si>
    <t>무안황토갯벌랜드</t>
    <phoneticPr fontId="2" type="noConversion"/>
  </si>
  <si>
    <t>2022 무안YD 페스티벌</t>
    <phoneticPr fontId="2" type="noConversion"/>
  </si>
  <si>
    <t>남악중앙공원</t>
    <phoneticPr fontId="2" type="noConversion"/>
  </si>
  <si>
    <t>함평군</t>
    <phoneticPr fontId="2" type="noConversion"/>
  </si>
  <si>
    <t>제24회 함평나비대축제</t>
    <phoneticPr fontId="2" type="noConversion"/>
  </si>
  <si>
    <t>4.29.~5.8.</t>
    <phoneticPr fontId="2" type="noConversion"/>
  </si>
  <si>
    <t>함평엑스포공원</t>
    <phoneticPr fontId="2" type="noConversion"/>
  </si>
  <si>
    <t>함평축제관광재단</t>
    <phoneticPr fontId="2" type="noConversion"/>
  </si>
  <si>
    <t>함평축제관광재단 설립 및 운영에 관한 조례</t>
    <phoneticPr fontId="2" type="noConversion"/>
  </si>
  <si>
    <t>심민진</t>
    <phoneticPr fontId="2" type="noConversion"/>
  </si>
  <si>
    <t>061-320-2212</t>
    <phoneticPr fontId="2" type="noConversion"/>
  </si>
  <si>
    <t>2022 대한민국 국향대전</t>
    <phoneticPr fontId="2" type="noConversion"/>
  </si>
  <si>
    <t>10.21.~11.6.</t>
    <phoneticPr fontId="2" type="noConversion"/>
  </si>
  <si>
    <t>2022 꽃무릇큰잔치</t>
    <phoneticPr fontId="2" type="noConversion"/>
  </si>
  <si>
    <t>9.16.~9.17.</t>
    <phoneticPr fontId="2" type="noConversion"/>
  </si>
  <si>
    <t>해보면 용천사</t>
    <phoneticPr fontId="2" type="noConversion"/>
  </si>
  <si>
    <t>해보면꽃무릇큰잔치추진위원회</t>
    <phoneticPr fontId="2" type="noConversion"/>
  </si>
  <si>
    <t>심민진(박민혜)</t>
    <phoneticPr fontId="2" type="noConversion"/>
  </si>
  <si>
    <t>061-320-2212(2773)</t>
    <phoneticPr fontId="2" type="noConversion"/>
  </si>
  <si>
    <t>2022 대한민국 난명품대제전</t>
    <phoneticPr fontId="2" type="noConversion"/>
  </si>
  <si>
    <t>3.26.~3.27.</t>
    <phoneticPr fontId="2" type="noConversion"/>
  </si>
  <si>
    <t>함평문화체육센터</t>
    <phoneticPr fontId="2" type="noConversion"/>
  </si>
  <si>
    <t>함평난연합회</t>
    <phoneticPr fontId="2" type="noConversion"/>
  </si>
  <si>
    <t>김준성</t>
    <phoneticPr fontId="2" type="noConversion"/>
  </si>
  <si>
    <t>061-320-2864</t>
    <phoneticPr fontId="2" type="noConversion"/>
  </si>
  <si>
    <t>영광군</t>
    <phoneticPr fontId="2" type="noConversion"/>
  </si>
  <si>
    <t>2022 곡우사리 영광굴비축제</t>
    <phoneticPr fontId="2" type="noConversion"/>
  </si>
  <si>
    <t>법성포 뉴타운</t>
    <phoneticPr fontId="2" type="noConversion"/>
  </si>
  <si>
    <t>곡우사리영광굴비축제추진위원회</t>
    <phoneticPr fontId="2" type="noConversion"/>
  </si>
  <si>
    <t>한경배</t>
    <phoneticPr fontId="2" type="noConversion"/>
  </si>
  <si>
    <t>061-350-5972</t>
    <phoneticPr fontId="2" type="noConversion"/>
  </si>
  <si>
    <t>제9회 영광찰보리문화축제</t>
    <phoneticPr fontId="2" type="noConversion"/>
  </si>
  <si>
    <t>4.29.~4.30.</t>
    <phoneticPr fontId="2" type="noConversion"/>
  </si>
  <si>
    <t>지내들 옹기돌탑공원</t>
    <phoneticPr fontId="2" type="noConversion"/>
  </si>
  <si>
    <t>영광찰보리문화축제추진위원회</t>
    <phoneticPr fontId="2" type="noConversion"/>
  </si>
  <si>
    <t>박영선</t>
    <phoneticPr fontId="2" type="noConversion"/>
  </si>
  <si>
    <t>061-350-5951</t>
    <phoneticPr fontId="2" type="noConversion"/>
  </si>
  <si>
    <t>2022 영광법성포단오제</t>
    <phoneticPr fontId="2" type="noConversion"/>
  </si>
  <si>
    <t>6.2.~6.5.</t>
    <phoneticPr fontId="2" type="noConversion"/>
  </si>
  <si>
    <t>법성포단오제 전수교육관</t>
    <phoneticPr fontId="2" type="noConversion"/>
  </si>
  <si>
    <t>조선중기</t>
    <phoneticPr fontId="2" type="noConversion"/>
  </si>
  <si>
    <t>법성포단오제보존회</t>
    <phoneticPr fontId="2" type="noConversion"/>
  </si>
  <si>
    <t>임준형</t>
    <phoneticPr fontId="2" type="noConversion"/>
  </si>
  <si>
    <t>061-350-5752</t>
    <phoneticPr fontId="2" type="noConversion"/>
  </si>
  <si>
    <t>제13회 영광천일염젓갈갯벌축제</t>
    <phoneticPr fontId="2" type="noConversion"/>
  </si>
  <si>
    <t>8.26.~8.28.</t>
    <phoneticPr fontId="2" type="noConversion"/>
  </si>
  <si>
    <t>설도항</t>
    <phoneticPr fontId="2" type="noConversion"/>
  </si>
  <si>
    <t>영광천일염젓갈갯벌축제추진위원회</t>
    <phoneticPr fontId="2" type="noConversion"/>
  </si>
  <si>
    <t>임재정</t>
    <phoneticPr fontId="2" type="noConversion"/>
  </si>
  <si>
    <t>061-350-4955</t>
    <phoneticPr fontId="2" type="noConversion"/>
  </si>
  <si>
    <t>제22회 영광불갑산상사화축제</t>
    <phoneticPr fontId="2" type="noConversion"/>
  </si>
  <si>
    <t>9.16.~9.25.</t>
    <phoneticPr fontId="2" type="noConversion"/>
  </si>
  <si>
    <t>불갑사 관광지</t>
    <phoneticPr fontId="2" type="noConversion"/>
  </si>
  <si>
    <t>영광불갑산상사화축제추진위원회</t>
    <phoneticPr fontId="2" type="noConversion"/>
  </si>
  <si>
    <t>제13회 영광백수해안도로노을축제</t>
    <phoneticPr fontId="2" type="noConversion"/>
  </si>
  <si>
    <t>영광백수해안도로노을축제추진위원회</t>
    <phoneticPr fontId="2" type="noConversion"/>
  </si>
  <si>
    <t>정의연</t>
    <phoneticPr fontId="2" type="noConversion"/>
  </si>
  <si>
    <t>061-350-5882</t>
    <phoneticPr fontId="2" type="noConversion"/>
  </si>
  <si>
    <t>전남</t>
  </si>
  <si>
    <t>장성군</t>
  </si>
  <si>
    <t>제6회 빈센트의봄</t>
  </si>
  <si>
    <t>장성역광장, 장성공원</t>
  </si>
  <si>
    <t>장성군축제위원회</t>
  </si>
  <si>
    <t>장성군 축제위원회 구성 및 지원에 관한 조례</t>
  </si>
  <si>
    <t>신소연</t>
  </si>
  <si>
    <t>061-390-7453</t>
  </si>
  <si>
    <t>제21회 황룡강 (洪)길동무 꽃길 축제</t>
    <phoneticPr fontId="2" type="noConversion"/>
  </si>
  <si>
    <t>황룡강변 일원, 홍길동테마파크</t>
    <phoneticPr fontId="2" type="noConversion"/>
  </si>
  <si>
    <t>제6회 황룡강 노란꽃잔치</t>
  </si>
  <si>
    <t>황룡강변 일원</t>
  </si>
  <si>
    <t>손지성</t>
  </si>
  <si>
    <t>061-390-7242</t>
  </si>
  <si>
    <t>제13회 축령산 편백산소축제</t>
  </si>
  <si>
    <t>축령산</t>
  </si>
  <si>
    <t>제23회 백양단풍축제</t>
  </si>
  <si>
    <t>국립공원 백암산, 백양사</t>
  </si>
  <si>
    <t>완도군</t>
    <phoneticPr fontId="2" type="noConversion"/>
  </si>
  <si>
    <t>2022 완도장보고수산물축제</t>
    <phoneticPr fontId="2" type="noConversion"/>
  </si>
  <si>
    <t>완도해변공원, 완도읍 신지면 일원</t>
    <phoneticPr fontId="2" type="noConversion"/>
  </si>
  <si>
    <t>완도군장보고수산물축제추진위원회</t>
    <phoneticPr fontId="2" type="noConversion"/>
  </si>
  <si>
    <t>완도군 지역축제 육성지원에 관한 조례</t>
    <phoneticPr fontId="2" type="noConversion"/>
  </si>
  <si>
    <t>김승철</t>
    <phoneticPr fontId="2" type="noConversion"/>
  </si>
  <si>
    <t>061-550-5431</t>
    <phoneticPr fontId="2" type="noConversion"/>
  </si>
  <si>
    <t>2022 청산도슬로걷기축제</t>
    <phoneticPr fontId="2" type="noConversion"/>
  </si>
  <si>
    <t>4.1.~5.8.</t>
    <phoneticPr fontId="2" type="noConversion"/>
  </si>
  <si>
    <t>청산면 일원</t>
    <phoneticPr fontId="2" type="noConversion"/>
  </si>
  <si>
    <t>청산도슬로걷기축제추진위원회</t>
    <phoneticPr fontId="2" type="noConversion"/>
  </si>
  <si>
    <t>정예지</t>
    <phoneticPr fontId="2" type="noConversion"/>
  </si>
  <si>
    <t>061-550-5432</t>
    <phoneticPr fontId="2" type="noConversion"/>
  </si>
  <si>
    <t>2022 청정완도 가을섬여행</t>
    <phoneticPr fontId="2" type="noConversion"/>
  </si>
  <si>
    <t>완도읍, 청산면, 보길면 일원</t>
    <phoneticPr fontId="2" type="noConversion"/>
  </si>
  <si>
    <t>청정완도가을섬여행
추진위원회</t>
    <phoneticPr fontId="2" type="noConversion"/>
  </si>
  <si>
    <t>완도군 지역축제 육성지원에 관한 조례</t>
  </si>
  <si>
    <t>진도군</t>
    <phoneticPr fontId="2" type="noConversion"/>
  </si>
  <si>
    <t>제43회 진도신비의바닷길축제</t>
    <phoneticPr fontId="2" type="noConversion"/>
  </si>
  <si>
    <t>4.17.~4.19.</t>
    <phoneticPr fontId="2" type="noConversion"/>
  </si>
  <si>
    <t>고군면 회동리</t>
    <phoneticPr fontId="2" type="noConversion"/>
  </si>
  <si>
    <t>진도군관광협의회</t>
    <phoneticPr fontId="2" type="noConversion"/>
  </si>
  <si>
    <t>진도군관광협의회 설립에 관한 조례</t>
    <phoneticPr fontId="2" type="noConversion"/>
  </si>
  <si>
    <t>이기복</t>
    <phoneticPr fontId="2" type="noConversion"/>
  </si>
  <si>
    <t>061-540-3407</t>
    <phoneticPr fontId="2" type="noConversion"/>
  </si>
  <si>
    <t>제9회 대한민국진도개페스티벌</t>
    <phoneticPr fontId="2" type="noConversion"/>
  </si>
  <si>
    <t>5.3.~5.5.</t>
    <phoneticPr fontId="2" type="noConversion"/>
  </si>
  <si>
    <t>진도개테마파크</t>
    <phoneticPr fontId="2" type="noConversion"/>
  </si>
  <si>
    <t>오대관</t>
    <phoneticPr fontId="2" type="noConversion"/>
  </si>
  <si>
    <t>061-540-6324</t>
    <phoneticPr fontId="2" type="noConversion"/>
  </si>
  <si>
    <t>2022 진도문화예술제</t>
    <phoneticPr fontId="2" type="noConversion"/>
  </si>
  <si>
    <t>10월중(1개월)</t>
    <phoneticPr fontId="2" type="noConversion"/>
  </si>
  <si>
    <t>진도군 일원</t>
    <phoneticPr fontId="2" type="noConversion"/>
  </si>
  <si>
    <t>한국예총진도군지회</t>
    <phoneticPr fontId="2" type="noConversion"/>
  </si>
  <si>
    <t>곽영신</t>
    <phoneticPr fontId="2" type="noConversion"/>
  </si>
  <si>
    <t>061-540-3072</t>
    <phoneticPr fontId="2" type="noConversion"/>
  </si>
  <si>
    <t>신안군</t>
    <phoneticPr fontId="2" type="noConversion"/>
  </si>
  <si>
    <t>2022년 섬 튤립축제</t>
    <phoneticPr fontId="2" type="noConversion"/>
  </si>
  <si>
    <t>4월중(10일)</t>
    <phoneticPr fontId="2" type="noConversion"/>
  </si>
  <si>
    <t>신안 튤립공원</t>
    <phoneticPr fontId="2" type="noConversion"/>
  </si>
  <si>
    <t>신안튤립축제추진위원회</t>
    <phoneticPr fontId="2" type="noConversion"/>
  </si>
  <si>
    <t>신안군 축제추진위원회 설치 및 운영 조례</t>
    <phoneticPr fontId="2" type="noConversion"/>
  </si>
  <si>
    <t>이현윤</t>
    <phoneticPr fontId="2" type="noConversion"/>
  </si>
  <si>
    <t>061-240-4041</t>
    <phoneticPr fontId="2" type="noConversion"/>
  </si>
  <si>
    <t>2022년 섬 겨울꽃 축제</t>
    <phoneticPr fontId="2" type="noConversion"/>
  </si>
  <si>
    <t>12월~'22.1월</t>
    <phoneticPr fontId="2" type="noConversion"/>
  </si>
  <si>
    <t>천사섬분재공원</t>
    <phoneticPr fontId="2" type="noConversion"/>
  </si>
  <si>
    <t>섬겨울꽃축제
추진위원회</t>
    <phoneticPr fontId="2" type="noConversion"/>
  </si>
  <si>
    <t>문치성</t>
    <phoneticPr fontId="2" type="noConversion"/>
  </si>
  <si>
    <t>061-240-8778</t>
    <phoneticPr fontId="2" type="noConversion"/>
  </si>
  <si>
    <r>
      <t xml:space="preserve">강릉단오제운영조례 제4조
민법 제32조
</t>
    </r>
    <r>
      <rPr>
        <sz val="11"/>
        <color theme="1"/>
        <rFont val="맑은 고딕"/>
        <family val="3"/>
        <charset val="129"/>
        <scheme val="minor"/>
      </rPr>
      <t>문화체유관광부 및 문화재청 소관 비영리법인의 설립 및 감독에 관한 규칙 제4조</t>
    </r>
    <phoneticPr fontId="2" type="noConversion"/>
  </si>
  <si>
    <t>「문화체육관광부 및 문화재청 소관 비영리법인의 설립 및 감독에 관한 규칙」제4조</t>
    <phoneticPr fontId="2" type="noConversion"/>
  </si>
  <si>
    <t>충남</t>
  </si>
  <si>
    <t>천안시</t>
  </si>
  <si>
    <t>천안흥타령춤축제</t>
  </si>
  <si>
    <t xml:space="preserve">ㅇ 춤경연 대회(전국춤 , 국제춤 분야)
ㅇ 코리아국제현대무용콩쿠르
ㅇ 농산물 홍보 및 체험 한마당 운영
ㅇ 부대공연 </t>
  </si>
  <si>
    <t>9.21~9.25</t>
  </si>
  <si>
    <t>2003년</t>
  </si>
  <si>
    <t>8000명</t>
  </si>
  <si>
    <t>천안문화재단</t>
  </si>
  <si>
    <t xml:space="preserve">천안문화재단 설립 및 운영에 관한 조례 </t>
  </si>
  <si>
    <t>조원정</t>
  </si>
  <si>
    <t>041-521-5154</t>
  </si>
  <si>
    <t>천안호두축제</t>
  </si>
  <si>
    <t>광덕쉼터</t>
  </si>
  <si>
    <t>2008년</t>
  </si>
  <si>
    <t>10000명</t>
  </si>
  <si>
    <t>천안호두축제추진위원회</t>
  </si>
  <si>
    <t>단체</t>
  </si>
  <si>
    <t>산림기본법 제26조(임업관련 단체의 육성)</t>
  </si>
  <si>
    <t>김선경</t>
  </si>
  <si>
    <t>041-521-4706</t>
  </si>
  <si>
    <t>천안북면위례벚꽃축제</t>
  </si>
  <si>
    <t>4월 초중순(2일간)</t>
  </si>
  <si>
    <t>은석초 및 병천천 일원</t>
  </si>
  <si>
    <t>2013년</t>
  </si>
  <si>
    <t>30,000명</t>
  </si>
  <si>
    <t>집계없음</t>
  </si>
  <si>
    <t>천안북면위례벚꽃축제추진위원회</t>
  </si>
  <si>
    <t>시민 자체 조직</t>
  </si>
  <si>
    <t>김규철</t>
  </si>
  <si>
    <t>041-521-4721</t>
  </si>
  <si>
    <t>입장거봉포도축제</t>
  </si>
  <si>
    <t>9월중(2일간)</t>
  </si>
  <si>
    <t>1993년</t>
  </si>
  <si>
    <t>34,000명</t>
    <phoneticPr fontId="2" type="noConversion"/>
  </si>
  <si>
    <t>입장거봉포도축제추진위원회</t>
  </si>
  <si>
    <t>천안시 농업ㆍ농촌 및 식품산업 지원에 관한 조례 제4조 4</t>
  </si>
  <si>
    <t>고현지</t>
  </si>
  <si>
    <t>041-521-6847</t>
  </si>
  <si>
    <t>공주시</t>
    <phoneticPr fontId="2" type="noConversion"/>
  </si>
  <si>
    <t>겨울공주 군밤축제</t>
  </si>
  <si>
    <t>2월중</t>
  </si>
  <si>
    <t>고마일원</t>
  </si>
  <si>
    <t>5858명</t>
    <phoneticPr fontId="2" type="noConversion"/>
  </si>
  <si>
    <t>겨울공주군밤축제조기위원회</t>
  </si>
  <si>
    <t>공주시 축제조례</t>
  </si>
  <si>
    <t>김현오</t>
  </si>
  <si>
    <t>041-840-8111</t>
    <phoneticPr fontId="2" type="noConversion"/>
  </si>
  <si>
    <t>석장리 세계구석기축제</t>
  </si>
  <si>
    <t>5.5. ~ 5. 8</t>
  </si>
  <si>
    <t>석장리박물관</t>
  </si>
  <si>
    <t>72899명</t>
    <phoneticPr fontId="2" type="noConversion"/>
  </si>
  <si>
    <t>구석기축제조직위원회</t>
  </si>
  <si>
    <t>이정희</t>
  </si>
  <si>
    <t>041-840-8069</t>
    <phoneticPr fontId="2" type="noConversion"/>
  </si>
  <si>
    <t>계룡산 벚꽃축제</t>
  </si>
  <si>
    <t>4월중</t>
  </si>
  <si>
    <t>동학사</t>
  </si>
  <si>
    <t>취소</t>
  </si>
  <si>
    <t>계룡산벚꽃축제추진위원회</t>
  </si>
  <si>
    <t>이승현</t>
  </si>
  <si>
    <t>041-840-8093</t>
    <phoneticPr fontId="2" type="noConversion"/>
  </si>
  <si>
    <t>계룡산산신제</t>
  </si>
  <si>
    <t>계룡 양화리</t>
  </si>
  <si>
    <t>1500명</t>
    <phoneticPr fontId="2" type="noConversion"/>
  </si>
  <si>
    <t>계룡산산신제전통보존회</t>
  </si>
  <si>
    <t>마곡사 신록축제</t>
  </si>
  <si>
    <t>마곡사</t>
  </si>
  <si>
    <t>마곡사신록축제추진위원회</t>
  </si>
  <si>
    <t>갑사황매화축제</t>
  </si>
  <si>
    <t>갑사</t>
  </si>
  <si>
    <t>갑사상가번영회</t>
  </si>
  <si>
    <t>이경진</t>
  </si>
  <si>
    <t>041-840-8112</t>
    <phoneticPr fontId="2" type="noConversion"/>
  </si>
  <si>
    <t>공주항공축제</t>
  </si>
  <si>
    <t>9월중</t>
  </si>
  <si>
    <t>정안천</t>
  </si>
  <si>
    <t>공주경비행기</t>
  </si>
  <si>
    <t>유구색동수국정원꽃축제</t>
  </si>
  <si>
    <t>6월중</t>
  </si>
  <si>
    <t>유구천</t>
  </si>
  <si>
    <t>여름공주축제조직위원회</t>
  </si>
  <si>
    <t>제68회 백제문화제</t>
  </si>
  <si>
    <t>백제역사</t>
  </si>
  <si>
    <t>10. 1.~10.10</t>
  </si>
  <si>
    <t>금강신관공원</t>
  </si>
  <si>
    <t>백제문화선양위원회</t>
  </si>
  <si>
    <t>구절산 구절초 축제</t>
  </si>
  <si>
    <t>10월중</t>
  </si>
  <si>
    <t>신풍 구절사</t>
  </si>
  <si>
    <t>구룡사구절초꽃축제조직위원회</t>
  </si>
  <si>
    <t>보령시</t>
  </si>
  <si>
    <t>무창포 주꾸미.도다리 축제</t>
  </si>
  <si>
    <t>3월~4월</t>
  </si>
  <si>
    <t>무창포항일원</t>
  </si>
  <si>
    <t>보조단체 미선정</t>
    <phoneticPr fontId="2" type="noConversion"/>
  </si>
  <si>
    <t>이재언</t>
  </si>
  <si>
    <t>041-930-6761</t>
  </si>
  <si>
    <t>2022 옥마산 봄꽃축제</t>
  </si>
  <si>
    <t>4월 중순 / 2일간</t>
  </si>
  <si>
    <t>옥마산 올레길, 옥마정 일원 등</t>
  </si>
  <si>
    <t>옥마산벚꽃추진위원회</t>
  </si>
  <si>
    <t>마을조직</t>
  </si>
  <si>
    <t>「보령시 임농가 소득 및 산림문화행사 지원 조례」 제7조(산림문화행사 지원) 제2호(봄꽃, 단풍, 억새, 무궁화, 산림체험 축제)</t>
  </si>
  <si>
    <t>황채은</t>
  </si>
  <si>
    <t>041-930-4952</t>
  </si>
  <si>
    <t>제16회 주산봄꽃축제</t>
  </si>
  <si>
    <t>주산면 화산천변</t>
  </si>
  <si>
    <t>주산면체육회</t>
  </si>
  <si>
    <t>한은경</t>
  </si>
  <si>
    <t>041-930-4761</t>
  </si>
  <si>
    <t>대천해수욕장 조개구이 축제</t>
  </si>
  <si>
    <t>5월중</t>
  </si>
  <si>
    <t>대천해수욕장 일원</t>
  </si>
  <si>
    <t>송민서</t>
  </si>
  <si>
    <t>041-930-6563</t>
  </si>
  <si>
    <t>대천항수산물축제</t>
  </si>
  <si>
    <t>대천항일원</t>
  </si>
  <si>
    <t>오천항키조개축제</t>
  </si>
  <si>
    <t>오천항일원</t>
  </si>
  <si>
    <t>보령AMC모터페스티벌</t>
  </si>
  <si>
    <t>대천해수욕장</t>
  </si>
  <si>
    <t>곽소영</t>
  </si>
  <si>
    <t>041-930-6561</t>
  </si>
  <si>
    <t xml:space="preserve">제25회 보령머드축제 </t>
  </si>
  <si>
    <t>7월~8월</t>
  </si>
  <si>
    <t>온오프라인</t>
  </si>
  <si>
    <t>(재)보령축제관광재단</t>
  </si>
  <si>
    <t xml:space="preserve">보령축제관광재단 설립 및 지원 조례 </t>
  </si>
  <si>
    <t>무창포 신비의 바닷길 축제</t>
  </si>
  <si>
    <t>8~9월</t>
  </si>
  <si>
    <t>무창포해수욕장</t>
  </si>
  <si>
    <t>이예원</t>
  </si>
  <si>
    <t>041-930-6562</t>
  </si>
  <si>
    <t>효도관광퍼레이드</t>
  </si>
  <si>
    <t>909.~9.10.</t>
    <phoneticPr fontId="2" type="noConversion"/>
  </si>
  <si>
    <t>은포2리 마을회관</t>
  </si>
  <si>
    <t>마을 축제추진위원회</t>
  </si>
  <si>
    <t>은포2리 마을개발위원회에서 결정</t>
  </si>
  <si>
    <t>손태규</t>
  </si>
  <si>
    <t>041-930-4596</t>
  </si>
  <si>
    <t>보령예술제</t>
  </si>
  <si>
    <t>9~10월</t>
  </si>
  <si>
    <t>보령문화예술회관</t>
  </si>
  <si>
    <t>(사)한국예총 보령지회</t>
  </si>
  <si>
    <t>보령시 문화예술 진흥 조례</t>
  </si>
  <si>
    <t>박은영</t>
  </si>
  <si>
    <t>041-930-3414</t>
  </si>
  <si>
    <t>만세보령문화제</t>
  </si>
  <si>
    <t>기타(주민화합 등)</t>
  </si>
  <si>
    <t>종합체육경기장</t>
  </si>
  <si>
    <t>만세보령문화제 추진위원회</t>
  </si>
  <si>
    <t>보령시 만세보령문화제 조례</t>
  </si>
  <si>
    <t>제1회 원산도 붕장어 축제</t>
  </si>
  <si>
    <t>특산품</t>
  </si>
  <si>
    <t>10월~11월중(2일)</t>
  </si>
  <si>
    <t>원산도 일원</t>
  </si>
  <si>
    <t>방영권</t>
  </si>
  <si>
    <t>041-930-4636</t>
  </si>
  <si>
    <t>제19회 성주산단풍축제</t>
  </si>
  <si>
    <t xml:space="preserve"> 기타(주민화합 등)</t>
  </si>
  <si>
    <t>10월~11월 중</t>
  </si>
  <si>
    <t xml:space="preserve">성주산 자연휴양림 일원 </t>
  </si>
  <si>
    <t>성주산단풍축제추진위원회</t>
  </si>
  <si>
    <t>보령시 임농가 소득 및 산림문화행사 지원 조례</t>
  </si>
  <si>
    <t>김영미</t>
  </si>
  <si>
    <t>041-980-4834</t>
  </si>
  <si>
    <t>제8회 청라 은행마을 단풍축제</t>
  </si>
  <si>
    <t>11월 첫째주
(예정)</t>
  </si>
  <si>
    <t>청라면 
장현리</t>
  </si>
  <si>
    <t>은행마을축제
추진위원회</t>
  </si>
  <si>
    <t>박미영</t>
  </si>
  <si>
    <t>041-930-4704</t>
  </si>
  <si>
    <t>보령 김축제</t>
  </si>
  <si>
    <t>대천해수욕장 머드광장</t>
  </si>
  <si>
    <t>천북 굴축제</t>
  </si>
  <si>
    <t>천수만테마파크</t>
  </si>
  <si>
    <t xml:space="preserve">충남 </t>
  </si>
  <si>
    <t>겨울바다사랑축제</t>
  </si>
  <si>
    <t xml:space="preserve">기타 </t>
  </si>
  <si>
    <t>12월중</t>
  </si>
  <si>
    <t>아산시</t>
  </si>
  <si>
    <t>제60회 성웅이순신축제</t>
  </si>
  <si>
    <t>4.29.~5.1</t>
    <phoneticPr fontId="2" type="noConversion"/>
  </si>
  <si>
    <t>현충사, 은행나무길, 온양온천역</t>
  </si>
  <si>
    <t>1962년</t>
  </si>
  <si>
    <t>아산문화재단</t>
  </si>
  <si>
    <t>아산문화재단 설립에 관한 조례(2007년)</t>
  </si>
  <si>
    <t>미지정</t>
  </si>
  <si>
    <t>한여름밤의 신정호 별빛축제</t>
  </si>
  <si>
    <t>신정호</t>
  </si>
  <si>
    <t>1998년</t>
  </si>
  <si>
    <t>문화관광과</t>
  </si>
  <si>
    <t>지자체</t>
  </si>
  <si>
    <t>서산시</t>
  </si>
  <si>
    <t>제4회 해미천 벚꽃축제</t>
  </si>
  <si>
    <t>4월 중순(토, 일)</t>
  </si>
  <si>
    <t>해미천 일원</t>
  </si>
  <si>
    <t>2017년</t>
  </si>
  <si>
    <t>축제취소</t>
  </si>
  <si>
    <t>벚꽃축제추진위원회</t>
  </si>
  <si>
    <t>서산시 축제 육성 및 지원 조례</t>
  </si>
  <si>
    <t>김가람</t>
  </si>
  <si>
    <t>041-660-3844</t>
  </si>
  <si>
    <t>팔봉산감자축제</t>
  </si>
  <si>
    <t>6월중(2~3일)</t>
  </si>
  <si>
    <t>기타(팔봉면 양길리)</t>
  </si>
  <si>
    <t>2002년</t>
  </si>
  <si>
    <t>팔봉산 감자축제 추진위원회</t>
  </si>
  <si>
    <t>김소희</t>
  </si>
  <si>
    <t>041-660-3068</t>
  </si>
  <si>
    <t>서산갯마을축제</t>
  </si>
  <si>
    <t>6월 중
(2일간)</t>
  </si>
  <si>
    <t>왕산포구</t>
  </si>
  <si>
    <t>2011년</t>
  </si>
  <si>
    <t>서산갯마을축제추진위원회</t>
  </si>
  <si>
    <t>김동민</t>
  </si>
  <si>
    <t>041-660-2411</t>
  </si>
  <si>
    <t>서산6쪽마늘축제</t>
  </si>
  <si>
    <t>7월중(2~3일)</t>
  </si>
  <si>
    <t>사적지(해미읍성)</t>
  </si>
  <si>
    <t>2007년</t>
  </si>
  <si>
    <t>6쪽마늘축제준비위원회</t>
  </si>
  <si>
    <t>삼길포우럭축제</t>
  </si>
  <si>
    <t>8월중(3일)</t>
  </si>
  <si>
    <t>삼길포항</t>
  </si>
  <si>
    <t>삼길포우럭축제추진위원회</t>
  </si>
  <si>
    <t>제19회 서산해미읍성축제</t>
  </si>
  <si>
    <t>10.07.~10.09.</t>
  </si>
  <si>
    <t>해미읍성</t>
  </si>
  <si>
    <t>대면 또는 
대면,비대면 병행</t>
    <phoneticPr fontId="2" type="noConversion"/>
  </si>
  <si>
    <t>2000년</t>
  </si>
  <si>
    <t>서산문화재단</t>
  </si>
  <si>
    <t>서산문화재단 
설립 및 운영에 관한 조례(2020년)</t>
  </si>
  <si>
    <t>장수미</t>
  </si>
  <si>
    <t>041-660-2228</t>
  </si>
  <si>
    <t>서산뻘낙지먹물축제</t>
  </si>
  <si>
    <t>10월중
(2일간)</t>
  </si>
  <si>
    <t>중리포구</t>
  </si>
  <si>
    <t>서산뻘낙지먹물축제추진위원회</t>
  </si>
  <si>
    <t>제23회 서산국화축제</t>
  </si>
  <si>
    <t>11. 4.~11. 13.</t>
  </si>
  <si>
    <t>서산시 복남골길 31-1일원</t>
  </si>
  <si>
    <t>1996년</t>
  </si>
  <si>
    <t>없음
(민간/축제 추진위원회 자체 추진, 서산국화축제추진위원회)</t>
  </si>
  <si>
    <t>송진희</t>
  </si>
  <si>
    <t>041-660-3935</t>
  </si>
  <si>
    <t>서산시</t>
    <phoneticPr fontId="2" type="noConversion"/>
  </si>
  <si>
    <t>간월도어리굴젓축제</t>
  </si>
  <si>
    <t>11월중(2일)</t>
  </si>
  <si>
    <t>간월도</t>
  </si>
  <si>
    <t>2015년</t>
  </si>
  <si>
    <t>간월도어리굴젓축제추진위원회</t>
  </si>
  <si>
    <t>논산시</t>
    <phoneticPr fontId="2" type="noConversion"/>
  </si>
  <si>
    <t>논산딸기축제</t>
  </si>
  <si>
    <t>2.23.-2.27.</t>
  </si>
  <si>
    <t>탑정호주변
/ 유튜브 채널</t>
  </si>
  <si>
    <t>비대면 개최(온라인)</t>
    <phoneticPr fontId="2" type="noConversion"/>
  </si>
  <si>
    <t>비대면
개최</t>
  </si>
  <si>
    <t xml:space="preserve">논산딸기축제추진위원회
</t>
  </si>
  <si>
    <t>논산시 딸기축제추진위원회 운영 조례</t>
  </si>
  <si>
    <t>장창순</t>
  </si>
  <si>
    <t>041-746-8386</t>
  </si>
  <si>
    <t>해바라기축제</t>
  </si>
  <si>
    <t>6월중(2일간)</t>
  </si>
  <si>
    <t>논산시 채운면 일원</t>
  </si>
  <si>
    <t>현장 개최</t>
  </si>
  <si>
    <t>해바라기축제추진위원회</t>
  </si>
  <si>
    <t>마을주민자체조직</t>
  </si>
  <si>
    <t>정기석</t>
  </si>
  <si>
    <t>콩밭열무축제</t>
  </si>
  <si>
    <t>8월중(2일간)</t>
  </si>
  <si>
    <t>미개최
(소규모마을행사 추진)</t>
    <phoneticPr fontId="2" type="noConversion"/>
  </si>
  <si>
    <t>콩밭열무축제추진위원회</t>
  </si>
  <si>
    <t>김시환</t>
  </si>
  <si>
    <t>상월명품고구마축제</t>
  </si>
  <si>
    <t>금강대학교 일원</t>
  </si>
  <si>
    <t>상월명품고구마축제추진위원회</t>
  </si>
  <si>
    <t>논산시 농업 농촌 지원에 관한 조례 제8조 제 12호</t>
  </si>
  <si>
    <t>민재훈</t>
  </si>
  <si>
    <t>041-746-8673</t>
  </si>
  <si>
    <t>연산대추축제</t>
  </si>
  <si>
    <t>10월 중순
(3일간)</t>
  </si>
  <si>
    <t>연산전통시장일원</t>
  </si>
  <si>
    <t>현장 및 비대면 병행 등</t>
    <phoneticPr fontId="2" type="noConversion"/>
  </si>
  <si>
    <t>연산대추축제추진위원회</t>
  </si>
  <si>
    <t>문관희</t>
  </si>
  <si>
    <t>041-746-8742</t>
  </si>
  <si>
    <t>강경젓갈축제</t>
  </si>
  <si>
    <t>10월중(5일간)</t>
  </si>
  <si>
    <t>젓갈공원 일원
/
유튜브 채널</t>
  </si>
  <si>
    <t xml:space="preserve">온/오프라인 병행 </t>
    <phoneticPr fontId="2" type="noConversion"/>
  </si>
  <si>
    <t>359,504명
(유튜브 시청자 수)</t>
    <phoneticPr fontId="2" type="noConversion"/>
  </si>
  <si>
    <t>강경젓갈축제추진위원회</t>
  </si>
  <si>
    <t>논산시 강경젓갈축제추진위원회 운영 조례</t>
  </si>
  <si>
    <t>권우진</t>
  </si>
  <si>
    <t>041-746-5663</t>
  </si>
  <si>
    <t>양촌곶감축제</t>
  </si>
  <si>
    <t>12월중(2일간)</t>
  </si>
  <si>
    <t>양촌면
체육공원</t>
  </si>
  <si>
    <t>양촌곶감축제추진위원회</t>
  </si>
  <si>
    <t>선수진</t>
  </si>
  <si>
    <t>041-746-8797</t>
  </si>
  <si>
    <t>계룡시</t>
  </si>
  <si>
    <t xml:space="preserve">2022계룡세계군문화엑스포 </t>
  </si>
  <si>
    <t>10.07.~10.23.</t>
  </si>
  <si>
    <t>2022년</t>
  </si>
  <si>
    <t>1년 연기</t>
    <phoneticPr fontId="2" type="noConversion"/>
  </si>
  <si>
    <t>계룡세계군문화엑스포조직위원회</t>
  </si>
  <si>
    <t>민법 제32조 및 충청남도 재단법인 계룡세계군문화엑스포조직위원회 설립 및 지원 조례 등</t>
  </si>
  <si>
    <t>최정윤</t>
  </si>
  <si>
    <t>042-840-2613</t>
  </si>
  <si>
    <t>당진시</t>
  </si>
  <si>
    <t>제20회 면천진달래축제</t>
  </si>
  <si>
    <t>4월 중</t>
  </si>
  <si>
    <t>면천읍성 일원</t>
  </si>
  <si>
    <t>면천진달래민속축제집행위원회</t>
  </si>
  <si>
    <t>면천진달래축제위원회</t>
  </si>
  <si>
    <t>지은주</t>
  </si>
  <si>
    <t>041-360-8355</t>
  </si>
  <si>
    <t>2022년 기지시줄다리기민속축제</t>
  </si>
  <si>
    <t>기지시줄다리기박물관 일원</t>
  </si>
  <si>
    <t>기지시줄다리기축제위원회</t>
  </si>
  <si>
    <t>기지시줄다리기축제위원회 정관 제3조</t>
  </si>
  <si>
    <t>고대영</t>
  </si>
  <si>
    <t>041-350-3581</t>
  </si>
  <si>
    <t>제15회 순성매화벚꽃축제</t>
  </si>
  <si>
    <t>갈산리 일원</t>
  </si>
  <si>
    <t>순성면 축제위원회</t>
  </si>
  <si>
    <t>순성매화벚꽃축제위원회</t>
  </si>
  <si>
    <t>김정숙</t>
  </si>
  <si>
    <t>041-360-8406</t>
  </si>
  <si>
    <t>제 17회 장고항실치축제</t>
  </si>
  <si>
    <t>장고항 일원</t>
  </si>
  <si>
    <t>장고항 실치축제 위원회</t>
  </si>
  <si>
    <t>육태영</t>
  </si>
  <si>
    <t>041-350-4273</t>
  </si>
  <si>
    <t>제 16회 한진포구바지락갯벌체험축제</t>
  </si>
  <si>
    <t>한진포구 일원</t>
  </si>
  <si>
    <t>한진포구바지락축제위원회</t>
  </si>
  <si>
    <t>한진포구바지락갯벌체험축제위원회</t>
  </si>
  <si>
    <t>제13회 순성왕매실&amp;당진맥주축제</t>
  </si>
  <si>
    <t>순성왕매실마을 일원</t>
  </si>
  <si>
    <t>순성왕매실 영농조합</t>
  </si>
  <si>
    <t>제 13회 당진해나루황토감자축제</t>
  </si>
  <si>
    <t>상록초등학교 일원</t>
  </si>
  <si>
    <t>해나루황토감자축제위원회</t>
  </si>
  <si>
    <t>당진해나루황토감자축제위원회</t>
  </si>
  <si>
    <t>윤소원</t>
  </si>
  <si>
    <t>041-350-4148</t>
  </si>
  <si>
    <t>제5회 합덕제연호문화축제</t>
  </si>
  <si>
    <t>7월 중</t>
  </si>
  <si>
    <t>합덕제 일원</t>
  </si>
  <si>
    <t>합덕제연호문화축제집행위원회</t>
  </si>
  <si>
    <t>합덕제연호문화축제위원회</t>
  </si>
  <si>
    <t>이상식</t>
  </si>
  <si>
    <t>041-350-3583</t>
  </si>
  <si>
    <t>제16회 삽교호조개구이축제</t>
  </si>
  <si>
    <t>삽교호 일원</t>
  </si>
  <si>
    <t>삽교호조개구이축제위원회</t>
  </si>
  <si>
    <t>조완희</t>
  </si>
  <si>
    <t>041-350-3593</t>
  </si>
  <si>
    <t>제5회 당진해나루황토고구마축제</t>
  </si>
  <si>
    <t>당진종합운동장 일원</t>
  </si>
  <si>
    <t>온라인 개최</t>
    <phoneticPr fontId="2" type="noConversion"/>
  </si>
  <si>
    <t>해나루황토고구마축제위원회</t>
  </si>
  <si>
    <t>제34회 남이흥장군문화제</t>
  </si>
  <si>
    <t>충장사 일원</t>
  </si>
  <si>
    <t>남이흥장군문화제집행위원회</t>
  </si>
  <si>
    <t>남이흥장군문화제집행위원회 정관 제2조</t>
  </si>
  <si>
    <t>제14회 당진국화전시회</t>
  </si>
  <si>
    <t>합덕농촌테마공원 일원</t>
  </si>
  <si>
    <t>미래농업과</t>
  </si>
  <si>
    <t>한만호</t>
  </si>
  <si>
    <t>041-360-6410</t>
  </si>
  <si>
    <t>제45회 심훈상록문화제</t>
  </si>
  <si>
    <t>당진시청 일원</t>
  </si>
  <si>
    <t>심훈상록문화제집행위원회</t>
  </si>
  <si>
    <t>심훈상록문화제집행위원회 정관 제2조</t>
  </si>
  <si>
    <t>육원석</t>
  </si>
  <si>
    <t>041-350-3573</t>
  </si>
  <si>
    <t>제18회 당진해나루쌀농특산물축제</t>
  </si>
  <si>
    <t>11월 중</t>
  </si>
  <si>
    <t>해나루쌀농특산물대축제추진위원회</t>
  </si>
  <si>
    <t>제23회 왜목마을해넘이해맞이축제</t>
  </si>
  <si>
    <t>12.31~1.1</t>
  </si>
  <si>
    <t>왜목마을 일원</t>
  </si>
  <si>
    <t>왜목해돋이축제위원회</t>
  </si>
  <si>
    <t>이윤주</t>
  </si>
  <si>
    <t>041-350-3591</t>
  </si>
  <si>
    <t>금산군</t>
  </si>
  <si>
    <t>제13회 금산천 봄꽃축제</t>
  </si>
  <si>
    <t>금산읍 금산천 둔치</t>
  </si>
  <si>
    <t>금산천봄꽃축제추진위원회</t>
  </si>
  <si>
    <t>금산군축제육성및지원에관한조례 제17조</t>
  </si>
  <si>
    <t>정민영</t>
  </si>
  <si>
    <t>041-750-2372</t>
  </si>
  <si>
    <t>제13회 남일면 홍도화축제</t>
  </si>
  <si>
    <t>남일면 신정리 홍도마을</t>
  </si>
  <si>
    <t>남일면홍도화축제추진위원회</t>
  </si>
  <si>
    <t>제1회 금강전통민속축제</t>
  </si>
  <si>
    <t>최초개최</t>
    <phoneticPr fontId="2" type="noConversion"/>
  </si>
  <si>
    <t>제22회 비단고을 산꽃축제</t>
  </si>
  <si>
    <t>산꽃벚꽃마을 오토캠핑장</t>
  </si>
  <si>
    <t>금산축제관광재단</t>
  </si>
  <si>
    <t>금산축제관광재단 설립 및 운영 조례(2018</t>
  </si>
  <si>
    <t>제2회 금산삼계탕축제</t>
  </si>
  <si>
    <t>금산인삼관 광장</t>
  </si>
  <si>
    <t>제40회 금산인삼축제</t>
  </si>
  <si>
    <t>1년연기</t>
    <phoneticPr fontId="2" type="noConversion"/>
  </si>
  <si>
    <t>제1회 깻잎축제</t>
  </si>
  <si>
    <t>부여군</t>
  </si>
  <si>
    <t>부여세도 방울토마토&amp;유채꽃축제</t>
  </si>
  <si>
    <t>특산물&amp;생태자연</t>
  </si>
  <si>
    <t>4.22.~4.24.</t>
  </si>
  <si>
    <t>세도면 황산대교 둔치 유채단지</t>
  </si>
  <si>
    <t>부여세도 방울토마토 유채꽃 축제 추진위원회</t>
  </si>
  <si>
    <t>민간조직</t>
  </si>
  <si>
    <t>장달희</t>
  </si>
  <si>
    <t>041-830-6722</t>
  </si>
  <si>
    <t>부소산 봄 나들이 축제</t>
  </si>
  <si>
    <t>생태자연&amp;전통역사</t>
  </si>
  <si>
    <t>4.30.~5.8.
공연 및 체험프로그램 : 5.5.~5.7.</t>
    <phoneticPr fontId="2" type="noConversion"/>
  </si>
  <si>
    <t>관북리 유적, 부소산성 일원</t>
  </si>
  <si>
    <t>부여군/보조단체 미선정</t>
    <phoneticPr fontId="2" type="noConversion"/>
  </si>
  <si>
    <t>김수민</t>
  </si>
  <si>
    <t>041-830-2213</t>
  </si>
  <si>
    <t>부여서동연꽃축제</t>
  </si>
  <si>
    <t>7.14.~7.17.
야간경관 및 편의시설 : 7.1.~7.31.</t>
    <phoneticPr fontId="2" type="noConversion"/>
  </si>
  <si>
    <t>서동공원(궁남지) 및 백마강 일원</t>
  </si>
  <si>
    <t>부여군/보조단체 미선정</t>
  </si>
  <si>
    <t>조영우</t>
  </si>
  <si>
    <t>041-830-2207</t>
  </si>
  <si>
    <t>백제문화제</t>
  </si>
  <si>
    <t>10.1.~10.10.</t>
  </si>
  <si>
    <t>부여군 일원</t>
  </si>
  <si>
    <t>오프라인 939명
온라인 77,797(중복포함)</t>
    <phoneticPr fontId="2" type="noConversion"/>
  </si>
  <si>
    <t>조일권</t>
  </si>
  <si>
    <t>041-830-2212</t>
  </si>
  <si>
    <t>내산벚꽃축제</t>
  </si>
  <si>
    <t>부여군 내산면</t>
  </si>
  <si>
    <t>유재철</t>
  </si>
  <si>
    <t>041-830-6453</t>
  </si>
  <si>
    <t>제19회 부여국화축제</t>
  </si>
  <si>
    <t>작품전시</t>
  </si>
  <si>
    <t>10.27.~11.7.(12일간)</t>
  </si>
  <si>
    <t>서동공원(궁남지)</t>
  </si>
  <si>
    <t>22만명</t>
  </si>
  <si>
    <t>부여군/농업기술센터</t>
  </si>
  <si>
    <t>심상완</t>
  </si>
  <si>
    <t>041-830-2603</t>
  </si>
  <si>
    <t>옥녀봉 진달래꽃 십리길 축제</t>
  </si>
  <si>
    <t>4.01~4.10 (기간 중 1일)</t>
  </si>
  <si>
    <t>옥산면 옥녀봉 일원</t>
  </si>
  <si>
    <t>옥녀봉 진달애 자원화 및 축제 추진위원회</t>
  </si>
  <si>
    <t>김진철</t>
  </si>
  <si>
    <t>041-830-6545</t>
  </si>
  <si>
    <t>굿뜨래 알밤축제</t>
  </si>
  <si>
    <t>10.21.~10.23.(미정)</t>
  </si>
  <si>
    <t>서동공원(궁남지) 및 백마강 일원(미정)</t>
  </si>
  <si>
    <t>해당없음</t>
  </si>
  <si>
    <t>알밤축제추진단(미선정)</t>
  </si>
  <si>
    <t>김유진</t>
  </si>
  <si>
    <t>041-830-2434</t>
  </si>
  <si>
    <t>서천군</t>
  </si>
  <si>
    <t>동백꽃·주꾸미 축제</t>
  </si>
  <si>
    <t>3월 중</t>
  </si>
  <si>
    <t>서면 마량포구 일원</t>
  </si>
  <si>
    <t>대면
(코로나 19 상황에 따라 변동 될수 있음)</t>
    <phoneticPr fontId="2" type="noConversion"/>
  </si>
  <si>
    <t>코로나 19 축제 취소</t>
  </si>
  <si>
    <t>서면개발위원회</t>
  </si>
  <si>
    <t>시민단체</t>
  </si>
  <si>
    <t>안기헌</t>
  </si>
  <si>
    <t>041-950-4016</t>
  </si>
  <si>
    <t>광어·도미 축제</t>
  </si>
  <si>
    <t>꼴갑축제</t>
  </si>
  <si>
    <t>장항읍 물양장</t>
  </si>
  <si>
    <t>2009년</t>
  </si>
  <si>
    <t>꼴갑축제추진위원회</t>
  </si>
  <si>
    <t>김용빈</t>
  </si>
  <si>
    <t>041-950-6305</t>
  </si>
  <si>
    <t>한산모시문화제</t>
  </si>
  <si>
    <t>6. 10.~6. 12.</t>
  </si>
  <si>
    <t>한산면 한산모시관</t>
  </si>
  <si>
    <t>1989년</t>
  </si>
  <si>
    <t>온라인 개최(34만명)</t>
  </si>
  <si>
    <t>한산모시문화제추진위원회</t>
  </si>
  <si>
    <t xml:space="preserve">서천군 지역축제추진위원회 구성 및 운영 조례 </t>
  </si>
  <si>
    <t>문병권</t>
  </si>
  <si>
    <t>041-950-4256</t>
  </si>
  <si>
    <t>춘장대여름문화예술축제</t>
  </si>
  <si>
    <t>7월~8월 중</t>
  </si>
  <si>
    <t>서면 춘장대해수욕장 광장</t>
  </si>
  <si>
    <t>2004년</t>
  </si>
  <si>
    <t>춘장대해수욕장운영협의회</t>
  </si>
  <si>
    <t>홍원항 전어·꽃게 축제</t>
  </si>
  <si>
    <t>서면 홍원항 일원</t>
  </si>
  <si>
    <t>홍원항 마을추진 위원회</t>
  </si>
  <si>
    <t xml:space="preserve">서천 금강 철새여행 </t>
  </si>
  <si>
    <t>마서면 조류생태전시관</t>
  </si>
  <si>
    <t>서천철새여행행사추진위원회</t>
  </si>
  <si>
    <t>마량포 해넘이·해돋이 축제</t>
  </si>
  <si>
    <t>관광</t>
  </si>
  <si>
    <t>12. 31.~1. 1.</t>
  </si>
  <si>
    <t>청양군</t>
  </si>
  <si>
    <t>제23회 칠갑산 장승문화축제</t>
  </si>
  <si>
    <t>칠갑산 장승공원</t>
  </si>
  <si>
    <t>99명</t>
  </si>
  <si>
    <t>칠갑산장승문화축제추진위원회</t>
  </si>
  <si>
    <t>장유진</t>
  </si>
  <si>
    <t>041-940-2193</t>
  </si>
  <si>
    <t>청양고추구기자축제</t>
    <phoneticPr fontId="2" type="noConversion"/>
  </si>
  <si>
    <t>8월말~9월초</t>
  </si>
  <si>
    <t>백세건강공원</t>
  </si>
  <si>
    <t>대면, 온라인</t>
  </si>
  <si>
    <t>16만명</t>
  </si>
  <si>
    <t>100명</t>
  </si>
  <si>
    <t>청양고추구기자축제추진위원회</t>
  </si>
  <si>
    <t>청양군 고추구기자축제 추진위원회 운영 조례</t>
  </si>
  <si>
    <t>이기석</t>
  </si>
  <si>
    <t>041-940-2302</t>
  </si>
  <si>
    <t>홍성군</t>
  </si>
  <si>
    <t>제19회 홍성남당항새조개축제</t>
  </si>
  <si>
    <t>01.21.~30.</t>
  </si>
  <si>
    <t>남당항</t>
  </si>
  <si>
    <t>정두진</t>
  </si>
  <si>
    <t>041-630-1237</t>
  </si>
  <si>
    <t>제27회 홍성남당항대하축제</t>
  </si>
  <si>
    <t>제27회 광천토굴새우젓광천김축제</t>
  </si>
  <si>
    <t>광천읍</t>
  </si>
  <si>
    <t>홍성역사인물축제</t>
  </si>
  <si>
    <t>5월13일~15일</t>
  </si>
  <si>
    <t>홍주읍성</t>
  </si>
  <si>
    <t>홍주문화관광재단</t>
  </si>
  <si>
    <t>홍성군 홍주문화관광재단 설립 및 운영에 관한 조례</t>
  </si>
  <si>
    <t>홍성한우바비큐페스티벌</t>
  </si>
  <si>
    <t>10월29일~30일</t>
  </si>
  <si>
    <t>예산군</t>
  </si>
  <si>
    <t>제49회 윤봉길평화축제</t>
  </si>
  <si>
    <t>4.29.~5.1.</t>
  </si>
  <si>
    <t>충의사</t>
  </si>
  <si>
    <t>1973년</t>
  </si>
  <si>
    <t>7,993명</t>
  </si>
  <si>
    <t>공모</t>
  </si>
  <si>
    <t>정서현</t>
  </si>
  <si>
    <t>041-339-7317</t>
    <phoneticPr fontId="2" type="noConversion"/>
  </si>
  <si>
    <t>출렁다리불꽃축제</t>
  </si>
  <si>
    <t>8월말</t>
  </si>
  <si>
    <t>예당호</t>
  </si>
  <si>
    <t>군 직접집행</t>
  </si>
  <si>
    <t>예산황새축제</t>
  </si>
  <si>
    <t>황새공원</t>
  </si>
  <si>
    <t>정우리</t>
  </si>
  <si>
    <t>041-339-7338</t>
    <phoneticPr fontId="2" type="noConversion"/>
  </si>
  <si>
    <t>제6회예산장터삼국축제</t>
  </si>
  <si>
    <t>기타(원도심활성화)</t>
  </si>
  <si>
    <t>10.14.~10.20.</t>
  </si>
  <si>
    <t>백종원거리</t>
  </si>
  <si>
    <t>62,245명</t>
  </si>
  <si>
    <t>제19회 예산황토사과축제</t>
  </si>
  <si>
    <t>예산역전시장</t>
  </si>
  <si>
    <t>1983년</t>
  </si>
  <si>
    <t>의좋은형제축제</t>
  </si>
  <si>
    <t>11.5.~11.6.</t>
  </si>
  <si>
    <t>대흥면의좋은형제공원</t>
  </si>
  <si>
    <t>21,014명</t>
  </si>
  <si>
    <t>태안군</t>
  </si>
  <si>
    <t>제18회 태안 국제 모래조각 축제</t>
  </si>
  <si>
    <t>문화관광</t>
  </si>
  <si>
    <t>7월</t>
  </si>
  <si>
    <t>신두리 해수욕장</t>
  </si>
  <si>
    <t>조현아</t>
  </si>
  <si>
    <t>041-670-2766</t>
  </si>
  <si>
    <t>2022 태안거리축제</t>
  </si>
  <si>
    <t>기타(특산물,주민화합)</t>
  </si>
  <si>
    <t>10월중 (1일)</t>
  </si>
  <si>
    <t>태안읍 중앙로 일원</t>
  </si>
  <si>
    <t>태안거리축제추진위원회</t>
  </si>
  <si>
    <t>태안군 축제 육성 및 지원에 관한 조례 제9조</t>
  </si>
  <si>
    <t>041-670-2841</t>
  </si>
  <si>
    <t>11회 태안군 몽산포항 주꾸미&amp;수산물 축제</t>
    <phoneticPr fontId="2" type="noConversion"/>
  </si>
  <si>
    <t>남면 몽산포항</t>
  </si>
  <si>
    <t>안숙주</t>
  </si>
  <si>
    <t>041-670-2875</t>
  </si>
  <si>
    <t>태안군</t>
    <phoneticPr fontId="2" type="noConversion"/>
  </si>
  <si>
    <t>21회 안면도 백사장 대하 축제</t>
  </si>
  <si>
    <t>안면읍 백사장항</t>
  </si>
  <si>
    <t>제10회 태안국화축제</t>
  </si>
  <si>
    <t>10.20.~10.26.</t>
  </si>
  <si>
    <t>옥파이종일선생생가지</t>
  </si>
  <si>
    <t>김종배</t>
  </si>
  <si>
    <t>041-670-5062</t>
  </si>
  <si>
    <t>수원시</t>
    <phoneticPr fontId="2" type="noConversion"/>
  </si>
  <si>
    <t>제58회 수원화성문화제</t>
    <phoneticPr fontId="2" type="noConversion"/>
  </si>
  <si>
    <t>수원화성</t>
    <phoneticPr fontId="2" type="noConversion"/>
  </si>
  <si>
    <t>11,055명</t>
    <phoneticPr fontId="2" type="noConversion"/>
  </si>
  <si>
    <t>수원문화재단</t>
    <phoneticPr fontId="2" type="noConversion"/>
  </si>
  <si>
    <t>수원시 재단법인 수원문화재단 설립 및 운영 조례</t>
    <phoneticPr fontId="2" type="noConversion"/>
  </si>
  <si>
    <t>김유미</t>
    <phoneticPr fontId="2" type="noConversion"/>
  </si>
  <si>
    <t>031-228-3068</t>
    <phoneticPr fontId="2" type="noConversion"/>
  </si>
  <si>
    <t>정조대왕 능행차 공동재현</t>
    <phoneticPr fontId="2" type="noConversion"/>
  </si>
  <si>
    <t>10월 중(2일간)</t>
    <phoneticPr fontId="2" type="noConversion"/>
  </si>
  <si>
    <t>이재영</t>
    <phoneticPr fontId="2" type="noConversion"/>
  </si>
  <si>
    <t>031-228-2367</t>
    <phoneticPr fontId="2" type="noConversion"/>
  </si>
  <si>
    <t>세계유산축전 수원화성</t>
    <phoneticPr fontId="2" type="noConversion"/>
  </si>
  <si>
    <t>10.1.~10.22.</t>
    <phoneticPr fontId="2" type="noConversion"/>
  </si>
  <si>
    <t>63,281명</t>
    <phoneticPr fontId="2" type="noConversion"/>
  </si>
  <si>
    <t>수원화성 미디어아트쇼</t>
    <phoneticPr fontId="2" type="noConversion"/>
  </si>
  <si>
    <t>9.3.~10.2.</t>
    <phoneticPr fontId="2" type="noConversion"/>
  </si>
  <si>
    <t>311,460명</t>
    <phoneticPr fontId="2" type="noConversion"/>
  </si>
  <si>
    <t>수원연극축제</t>
    <phoneticPr fontId="2" type="noConversion"/>
  </si>
  <si>
    <t>5.20.~5.22.</t>
    <phoneticPr fontId="2" type="noConversion"/>
  </si>
  <si>
    <t>경기상상캠퍼스
탑동시민농장</t>
    <phoneticPr fontId="2" type="noConversion"/>
  </si>
  <si>
    <t>이경아</t>
    <phoneticPr fontId="2" type="noConversion"/>
  </si>
  <si>
    <t>031-228-2471</t>
    <phoneticPr fontId="2" type="noConversion"/>
  </si>
  <si>
    <t>수원발레축제</t>
    <phoneticPr fontId="2" type="noConversion"/>
  </si>
  <si>
    <t>8.15.~8.21.</t>
    <phoneticPr fontId="2" type="noConversion"/>
  </si>
  <si>
    <t>수원제1야외음악당</t>
    <phoneticPr fontId="2" type="noConversion"/>
  </si>
  <si>
    <t>6,700명</t>
    <phoneticPr fontId="2" type="noConversion"/>
  </si>
  <si>
    <t>수원재즈페스티벌</t>
    <phoneticPr fontId="2" type="noConversion"/>
  </si>
  <si>
    <t>9.9.~9.10.</t>
    <phoneticPr fontId="2" type="noConversion"/>
  </si>
  <si>
    <t>광교호수공원 재미난밭</t>
    <phoneticPr fontId="2" type="noConversion"/>
  </si>
  <si>
    <t>제29회 음식문화축제</t>
    <phoneticPr fontId="2" type="noConversion"/>
  </si>
  <si>
    <t>(미정)</t>
    <phoneticPr fontId="2" type="noConversion"/>
  </si>
  <si>
    <t>이윤희</t>
    <phoneticPr fontId="2" type="noConversion"/>
  </si>
  <si>
    <t>031-228-2233</t>
    <phoneticPr fontId="2" type="noConversion"/>
  </si>
  <si>
    <t>제32회 전국 무궁화 수원축제</t>
    <phoneticPr fontId="2" type="noConversion"/>
  </si>
  <si>
    <t>7~8월 중(미정)</t>
    <phoneticPr fontId="2" type="noConversion"/>
  </si>
  <si>
    <t>오지연</t>
    <phoneticPr fontId="2" type="noConversion"/>
  </si>
  <si>
    <t>031-228-4561</t>
    <phoneticPr fontId="2" type="noConversion"/>
  </si>
  <si>
    <t>제17회 수원정보과학축제</t>
    <phoneticPr fontId="2" type="noConversion"/>
  </si>
  <si>
    <t>10.15.~10.16.</t>
    <phoneticPr fontId="2" type="noConversion"/>
  </si>
  <si>
    <t>수원컨벤션센터</t>
    <phoneticPr fontId="2" type="noConversion"/>
  </si>
  <si>
    <t>김대식</t>
    <phoneticPr fontId="2" type="noConversion"/>
  </si>
  <si>
    <t>031-228-2671</t>
    <phoneticPr fontId="2" type="noConversion"/>
  </si>
  <si>
    <t>용인시</t>
    <phoneticPr fontId="2" type="noConversion"/>
  </si>
  <si>
    <t>제22회 용인사이버과학축제</t>
    <phoneticPr fontId="2" type="noConversion"/>
  </si>
  <si>
    <t>시청 광장</t>
    <phoneticPr fontId="2" type="noConversion"/>
  </si>
  <si>
    <t>김한준</t>
    <phoneticPr fontId="2" type="noConversion"/>
  </si>
  <si>
    <t>031-324-2083</t>
    <phoneticPr fontId="2" type="noConversion"/>
  </si>
  <si>
    <t>용인패밀리페스티벌</t>
    <phoneticPr fontId="2" type="noConversion"/>
  </si>
  <si>
    <t>용인미르스타디움</t>
    <phoneticPr fontId="2" type="noConversion"/>
  </si>
  <si>
    <t>이인애</t>
    <phoneticPr fontId="2" type="noConversion"/>
  </si>
  <si>
    <t>031-324-3044</t>
    <phoneticPr fontId="2" type="noConversion"/>
  </si>
  <si>
    <t>사계절테마축제(봄)</t>
    <phoneticPr fontId="2" type="noConversion"/>
  </si>
  <si>
    <t>4월 중(3일간)</t>
    <phoneticPr fontId="2" type="noConversion"/>
  </si>
  <si>
    <t>용인농촌테마파크</t>
    <phoneticPr fontId="2" type="noConversion"/>
  </si>
  <si>
    <t>776명</t>
    <phoneticPr fontId="2" type="noConversion"/>
  </si>
  <si>
    <t>장은실</t>
    <phoneticPr fontId="2" type="noConversion"/>
  </si>
  <si>
    <t>031-324-4056</t>
    <phoneticPr fontId="2" type="noConversion"/>
  </si>
  <si>
    <t>사계절테마축제(여름)</t>
    <phoneticPr fontId="2" type="noConversion"/>
  </si>
  <si>
    <t>6월 중(3일간)</t>
    <phoneticPr fontId="2" type="noConversion"/>
  </si>
  <si>
    <t>260명</t>
    <phoneticPr fontId="2" type="noConversion"/>
  </si>
  <si>
    <t>사계절테마축제(가을)</t>
    <phoneticPr fontId="2" type="noConversion"/>
  </si>
  <si>
    <t>2,670명</t>
    <phoneticPr fontId="2" type="noConversion"/>
  </si>
  <si>
    <t>사계절테마축제(겨울)</t>
    <phoneticPr fontId="2" type="noConversion"/>
  </si>
  <si>
    <t>381명</t>
    <phoneticPr fontId="2" type="noConversion"/>
  </si>
  <si>
    <t>제9회 경안천 창포 축제</t>
    <phoneticPr fontId="2" type="noConversion"/>
  </si>
  <si>
    <t>6.3.~6.4.</t>
    <phoneticPr fontId="2" type="noConversion"/>
  </si>
  <si>
    <t>경안천</t>
    <phoneticPr fontId="2" type="noConversion"/>
  </si>
  <si>
    <t>포곡관광발전협의회</t>
    <phoneticPr fontId="2" type="noConversion"/>
  </si>
  <si>
    <t>강태환</t>
    <phoneticPr fontId="2" type="noConversion"/>
  </si>
  <si>
    <t>031-324-5053</t>
    <phoneticPr fontId="2" type="noConversion"/>
  </si>
  <si>
    <t>제8회 백암백중문화제</t>
    <phoneticPr fontId="2" type="noConversion"/>
  </si>
  <si>
    <t>백암전통시장</t>
    <phoneticPr fontId="2" type="noConversion"/>
  </si>
  <si>
    <t>백암백중문화보존위원회</t>
    <phoneticPr fontId="2" type="noConversion"/>
  </si>
  <si>
    <t>고양시</t>
    <phoneticPr fontId="2" type="noConversion"/>
  </si>
  <si>
    <t>고양행주문화제</t>
    <phoneticPr fontId="2" type="noConversion"/>
  </si>
  <si>
    <t>행주산성 일원</t>
    <phoneticPr fontId="2" type="noConversion"/>
  </si>
  <si>
    <t>968명</t>
    <phoneticPr fontId="2" type="noConversion"/>
  </si>
  <si>
    <t>30명</t>
    <phoneticPr fontId="2" type="noConversion"/>
  </si>
  <si>
    <t>고양문화재단</t>
    <phoneticPr fontId="2" type="noConversion"/>
  </si>
  <si>
    <t>고양문화재단 설립에 관한 조례(2003년)</t>
    <phoneticPr fontId="2" type="noConversion"/>
  </si>
  <si>
    <t>최용석</t>
    <phoneticPr fontId="2" type="noConversion"/>
  </si>
  <si>
    <t>031-8075-3372</t>
    <phoneticPr fontId="2" type="noConversion"/>
  </si>
  <si>
    <t>고양호수예술축제</t>
  </si>
  <si>
    <t>9.30.~10.3.</t>
    <phoneticPr fontId="2" type="noConversion"/>
  </si>
  <si>
    <t>일산호수공원 일원</t>
    <phoneticPr fontId="2" type="noConversion"/>
  </si>
  <si>
    <t>지준희</t>
    <phoneticPr fontId="2" type="noConversion"/>
  </si>
  <si>
    <t>031-960-9680</t>
    <phoneticPr fontId="2" type="noConversion"/>
  </si>
  <si>
    <t>성남시</t>
    <phoneticPr fontId="2" type="noConversion"/>
  </si>
  <si>
    <t>성남 축제의 날</t>
    <phoneticPr fontId="2" type="noConversion"/>
  </si>
  <si>
    <t>성남 일원</t>
    <phoneticPr fontId="2" type="noConversion"/>
  </si>
  <si>
    <t>15,583명</t>
    <phoneticPr fontId="2" type="noConversion"/>
  </si>
  <si>
    <t>성남문화재단</t>
    <phoneticPr fontId="2" type="noConversion"/>
  </si>
  <si>
    <t>성남시문화재단 설립 및 운영에 관한 조례</t>
    <phoneticPr fontId="2" type="noConversion"/>
  </si>
  <si>
    <t>박서현</t>
    <phoneticPr fontId="2" type="noConversion"/>
  </si>
  <si>
    <t>031-729-2973</t>
    <phoneticPr fontId="2" type="noConversion"/>
  </si>
  <si>
    <t>화성시</t>
    <phoneticPr fontId="2" type="noConversion"/>
  </si>
  <si>
    <t>제14회 품앗이 공연예술축제</t>
    <phoneticPr fontId="2" type="noConversion"/>
  </si>
  <si>
    <t>6월 중(4일간)</t>
    <phoneticPr fontId="2" type="noConversion"/>
  </si>
  <si>
    <t>민들레 연극마을</t>
    <phoneticPr fontId="2" type="noConversion"/>
  </si>
  <si>
    <t>160명</t>
    <phoneticPr fontId="2" type="noConversion"/>
  </si>
  <si>
    <t>화성시문화재단</t>
    <phoneticPr fontId="2" type="noConversion"/>
  </si>
  <si>
    <t>화성시문화재단 설립 및 운영에 관한 조례</t>
    <phoneticPr fontId="2" type="noConversion"/>
  </si>
  <si>
    <t>조현옥</t>
    <phoneticPr fontId="2" type="noConversion"/>
  </si>
  <si>
    <t>031-5189-6147</t>
    <phoneticPr fontId="2" type="noConversion"/>
  </si>
  <si>
    <t>제12회 화성뱃놀이축제</t>
    <phoneticPr fontId="2" type="noConversion"/>
  </si>
  <si>
    <t>6~9월 중(3일간)</t>
    <phoneticPr fontId="2" type="noConversion"/>
  </si>
  <si>
    <t>전곡항 및 제부도</t>
    <phoneticPr fontId="2" type="noConversion"/>
  </si>
  <si>
    <t>정현</t>
    <phoneticPr fontId="2" type="noConversion"/>
  </si>
  <si>
    <t>031-5189-6136</t>
    <phoneticPr fontId="2" type="noConversion"/>
  </si>
  <si>
    <t>화성송산포도축제</t>
    <phoneticPr fontId="2" type="noConversion"/>
  </si>
  <si>
    <t>9.3.~9.4.</t>
    <phoneticPr fontId="2" type="noConversion"/>
  </si>
  <si>
    <t>궁평항 광장</t>
    <phoneticPr fontId="2" type="noConversion"/>
  </si>
  <si>
    <t>(사)화성송산포도연합회</t>
    <phoneticPr fontId="2" type="noConversion"/>
  </si>
  <si>
    <t>농업농촌및식품산업기본법,
화성시농특산물통합상표사용에관한조례</t>
    <phoneticPr fontId="2" type="noConversion"/>
  </si>
  <si>
    <t>박진영</t>
    <phoneticPr fontId="2" type="noConversion"/>
  </si>
  <si>
    <t>031-5189-6441</t>
    <phoneticPr fontId="2" type="noConversion"/>
  </si>
  <si>
    <t>화성 평화 행사</t>
    <phoneticPr fontId="2" type="noConversion"/>
  </si>
  <si>
    <t>문화예술, 생태자연</t>
    <phoneticPr fontId="2" type="noConversion"/>
  </si>
  <si>
    <t>화성호 및 화성드림파크 등</t>
    <phoneticPr fontId="2" type="noConversion"/>
  </si>
  <si>
    <t>김수희</t>
    <phoneticPr fontId="2" type="noConversion"/>
  </si>
  <si>
    <t>031-5189-3017</t>
    <phoneticPr fontId="2" type="noConversion"/>
  </si>
  <si>
    <t>정조 효 문화제(정조대왕 능행차 화성구간)</t>
    <phoneticPr fontId="2" type="noConversion"/>
  </si>
  <si>
    <t>융건릉</t>
    <phoneticPr fontId="2" type="noConversion"/>
  </si>
  <si>
    <t>화성시문화재단</t>
  </si>
  <si>
    <t>조경신</t>
    <phoneticPr fontId="2" type="noConversion"/>
  </si>
  <si>
    <t>031-5189-3835</t>
    <phoneticPr fontId="2" type="noConversion"/>
  </si>
  <si>
    <t>부천시</t>
    <phoneticPr fontId="2" type="noConversion"/>
  </si>
  <si>
    <t>제25회 부천국제만화축제</t>
    <phoneticPr fontId="2" type="noConversion"/>
  </si>
  <si>
    <t>9.22.~9.25.</t>
    <phoneticPr fontId="2" type="noConversion"/>
  </si>
  <si>
    <t>부천시청, 한국만화박물관 등</t>
    <phoneticPr fontId="2" type="noConversion"/>
  </si>
  <si>
    <t>86,254명</t>
    <phoneticPr fontId="2" type="noConversion"/>
  </si>
  <si>
    <t>한국만화영상진흥원</t>
    <phoneticPr fontId="2" type="noConversion"/>
  </si>
  <si>
    <t>한국만화영상진흥원 설치 및 운영 조례(2020년)</t>
    <phoneticPr fontId="2" type="noConversion"/>
  </si>
  <si>
    <t>홍성찬</t>
    <phoneticPr fontId="2" type="noConversion"/>
  </si>
  <si>
    <t>032-625-9376</t>
    <phoneticPr fontId="2" type="noConversion"/>
  </si>
  <si>
    <t>제6회 국제코스프레 페스티벌</t>
    <phoneticPr fontId="2" type="noConversion"/>
  </si>
  <si>
    <t>제24회 부천국제애니메이션페스티벌</t>
    <phoneticPr fontId="2" type="noConversion"/>
  </si>
  <si>
    <t>10.21.~10.25.</t>
    <phoneticPr fontId="2" type="noConversion"/>
  </si>
  <si>
    <t>부천시청, CGV부천 등</t>
    <phoneticPr fontId="2" type="noConversion"/>
  </si>
  <si>
    <t>10,992명</t>
    <phoneticPr fontId="2" type="noConversion"/>
  </si>
  <si>
    <t>부천국제애니메이션페스티벌조직위원회</t>
    <phoneticPr fontId="2" type="noConversion"/>
  </si>
  <si>
    <t>부천시 영상 문화 산업 진흥 조례(2016년)</t>
    <phoneticPr fontId="2" type="noConversion"/>
  </si>
  <si>
    <t>이윤정</t>
    <phoneticPr fontId="2" type="noConversion"/>
  </si>
  <si>
    <t>032-625-9377</t>
    <phoneticPr fontId="2" type="noConversion"/>
  </si>
  <si>
    <t>남양주시</t>
    <phoneticPr fontId="2" type="noConversion"/>
  </si>
  <si>
    <t>제36회 정약용문화제</t>
    <phoneticPr fontId="2" type="noConversion"/>
  </si>
  <si>
    <t>9월 중(2일간)</t>
    <phoneticPr fontId="2" type="noConversion"/>
  </si>
  <si>
    <t>정약용유적지, 다산생태공원 일원</t>
    <phoneticPr fontId="2" type="noConversion"/>
  </si>
  <si>
    <t>16,000명</t>
    <phoneticPr fontId="2" type="noConversion"/>
  </si>
  <si>
    <t>정약용문화제추진위원회</t>
    <phoneticPr fontId="2" type="noConversion"/>
  </si>
  <si>
    <t>남양주시 정약용문화제 조례</t>
    <phoneticPr fontId="2" type="noConversion"/>
  </si>
  <si>
    <t>황혜진</t>
    <phoneticPr fontId="2" type="noConversion"/>
  </si>
  <si>
    <t>031-590-2799</t>
    <phoneticPr fontId="2" type="noConversion"/>
  </si>
  <si>
    <t xml:space="preserve">안산시 </t>
    <phoneticPr fontId="2" type="noConversion"/>
  </si>
  <si>
    <t>제18회 안산국제거리극축제</t>
    <phoneticPr fontId="2" type="noConversion"/>
  </si>
  <si>
    <t>5.5.~5.7.</t>
    <phoneticPr fontId="2" type="noConversion"/>
  </si>
  <si>
    <t>안산문화광장</t>
    <phoneticPr fontId="2" type="noConversion"/>
  </si>
  <si>
    <t>8,230명</t>
    <phoneticPr fontId="2" type="noConversion"/>
  </si>
  <si>
    <t>안산문화재단</t>
    <phoneticPr fontId="2" type="noConversion"/>
  </si>
  <si>
    <t>안산시 안산문화재단 설립 및 운영 조례</t>
    <phoneticPr fontId="2" type="noConversion"/>
  </si>
  <si>
    <t>류필</t>
    <phoneticPr fontId="2" type="noConversion"/>
  </si>
  <si>
    <t>031-481-2068</t>
    <phoneticPr fontId="2" type="noConversion"/>
  </si>
  <si>
    <t>평택시</t>
  </si>
  <si>
    <t>평택 꽃 나들이</t>
    <phoneticPr fontId="2" type="noConversion"/>
  </si>
  <si>
    <t>4월 중~5월 초</t>
    <phoneticPr fontId="2" type="noConversion"/>
  </si>
  <si>
    <t>평택시농업기술센터 및 농업생태원 일원</t>
    <phoneticPr fontId="2" type="noConversion"/>
  </si>
  <si>
    <t>75,545명</t>
    <phoneticPr fontId="2" type="noConversion"/>
  </si>
  <si>
    <t>4,000명</t>
    <phoneticPr fontId="2" type="noConversion"/>
  </si>
  <si>
    <t>한국예총   평택지회</t>
  </si>
  <si>
    <t>농어업·농어촌 및 식품산업 기본법 제45조, 제51조, 문화예술 진흥법 제3조</t>
  </si>
  <si>
    <t>최재구</t>
  </si>
  <si>
    <t>031-8024-4665</t>
  </si>
  <si>
    <t>평택시</t>
    <phoneticPr fontId="2" type="noConversion"/>
  </si>
  <si>
    <t>송탄관광특구 한마음대축제</t>
    <phoneticPr fontId="2" type="noConversion"/>
  </si>
  <si>
    <t>서정동 관광특구로 일대</t>
    <phoneticPr fontId="2" type="noConversion"/>
  </si>
  <si>
    <t>(사)송탄관광특구연합회</t>
    <phoneticPr fontId="2" type="noConversion"/>
  </si>
  <si>
    <t>민유진</t>
    <phoneticPr fontId="2" type="noConversion"/>
  </si>
  <si>
    <t>031-8024-3291</t>
    <phoneticPr fontId="2" type="noConversion"/>
  </si>
  <si>
    <t>제1회 평택한가락페스타</t>
    <phoneticPr fontId="2" type="noConversion"/>
  </si>
  <si>
    <t>소사벌레포츠타운일원</t>
    <phoneticPr fontId="2" type="noConversion"/>
  </si>
  <si>
    <t>평택시문화재단</t>
    <phoneticPr fontId="2" type="noConversion"/>
  </si>
  <si>
    <t>평택시 문화재단 설립 및 운영조례</t>
    <phoneticPr fontId="2" type="noConversion"/>
  </si>
  <si>
    <t>무형문화재 축제</t>
  </si>
  <si>
    <t>9.23.~9.24.</t>
  </si>
  <si>
    <t>평택시청앞</t>
    <phoneticPr fontId="2" type="noConversion"/>
  </si>
  <si>
    <t>평택농악보존회</t>
    <phoneticPr fontId="2" type="noConversion"/>
  </si>
  <si>
    <t>손민정</t>
  </si>
  <si>
    <t>031-8024-3247</t>
    <phoneticPr fontId="2" type="noConversion"/>
  </si>
  <si>
    <t>한미 어울림 축제</t>
    <phoneticPr fontId="2" type="noConversion"/>
  </si>
  <si>
    <t>7월 중(2일간)</t>
    <phoneticPr fontId="2" type="noConversion"/>
  </si>
  <si>
    <t>미군부대 앞 거리</t>
    <phoneticPr fontId="2" type="noConversion"/>
  </si>
  <si>
    <t>평택시국제교류재단</t>
    <phoneticPr fontId="2" type="noConversion"/>
  </si>
  <si>
    <t>평택시 국제교류재단 설립 및 운영 조례</t>
    <phoneticPr fontId="2" type="noConversion"/>
  </si>
  <si>
    <t>031-8024-5336</t>
    <phoneticPr fontId="2" type="noConversion"/>
  </si>
  <si>
    <t>한미친선 한마음 축제</t>
    <phoneticPr fontId="2" type="noConversion"/>
  </si>
  <si>
    <t>안정리 로데오 거리</t>
    <phoneticPr fontId="2" type="noConversion"/>
  </si>
  <si>
    <t>2,499명</t>
    <phoneticPr fontId="2" type="noConversion"/>
  </si>
  <si>
    <t>한미친선 문화 한마당</t>
    <phoneticPr fontId="2" type="noConversion"/>
  </si>
  <si>
    <t>신장쇼핑몰</t>
    <phoneticPr fontId="2" type="noConversion"/>
  </si>
  <si>
    <t>3,950명</t>
    <phoneticPr fontId="2" type="noConversion"/>
  </si>
  <si>
    <t>3,949명</t>
    <phoneticPr fontId="2" type="noConversion"/>
  </si>
  <si>
    <t>평택 가을 수확축제</t>
    <phoneticPr fontId="2" type="noConversion"/>
  </si>
  <si>
    <t>안양시</t>
    <phoneticPr fontId="2" type="noConversion"/>
  </si>
  <si>
    <t>안양충훈벚꽃축제</t>
    <phoneticPr fontId="2" type="noConversion"/>
  </si>
  <si>
    <t>석수3동 충훈2교 일대</t>
    <phoneticPr fontId="2" type="noConversion"/>
  </si>
  <si>
    <t>안양문화예술재단</t>
    <phoneticPr fontId="2" type="noConversion"/>
  </si>
  <si>
    <t>안양문화예술재단 설립 및 운영 조례</t>
    <phoneticPr fontId="2" type="noConversion"/>
  </si>
  <si>
    <t>안이경</t>
    <phoneticPr fontId="2" type="noConversion"/>
  </si>
  <si>
    <t>031-8045-2064</t>
    <phoneticPr fontId="2" type="noConversion"/>
  </si>
  <si>
    <t>안양시민축제</t>
    <phoneticPr fontId="2" type="noConversion"/>
  </si>
  <si>
    <t>9월 중(3일간)</t>
    <phoneticPr fontId="2" type="noConversion"/>
  </si>
  <si>
    <t>평촌
중앙공원 등</t>
    <phoneticPr fontId="2" type="noConversion"/>
  </si>
  <si>
    <t>829,644명</t>
    <phoneticPr fontId="2" type="noConversion"/>
  </si>
  <si>
    <t>시흥시</t>
    <phoneticPr fontId="2" type="noConversion"/>
  </si>
  <si>
    <t>제17회 시흥갯골축제</t>
    <phoneticPr fontId="2" type="noConversion"/>
  </si>
  <si>
    <t>공원, 온라인</t>
    <phoneticPr fontId="2" type="noConversion"/>
  </si>
  <si>
    <t>231,168명</t>
    <phoneticPr fontId="2" type="noConversion"/>
  </si>
  <si>
    <t>윤현미</t>
    <phoneticPr fontId="2" type="noConversion"/>
  </si>
  <si>
    <t>031-310-2916</t>
    <phoneticPr fontId="2" type="noConversion"/>
  </si>
  <si>
    <t>제1회 시흥거북썸(SSUM)축제</t>
    <phoneticPr fontId="2" type="noConversion"/>
  </si>
  <si>
    <t>시흥 거북섬 및 웨이브파크 일원</t>
    <phoneticPr fontId="2" type="noConversion"/>
  </si>
  <si>
    <t>심서율</t>
    <phoneticPr fontId="2" type="noConversion"/>
  </si>
  <si>
    <t>031-310-2906</t>
    <phoneticPr fontId="2" type="noConversion"/>
  </si>
  <si>
    <t>김포시</t>
    <phoneticPr fontId="2" type="noConversion"/>
  </si>
  <si>
    <t>제6회 김포 아라마린 페스티벌</t>
    <phoneticPr fontId="2" type="noConversion"/>
  </si>
  <si>
    <t>8월 중(2일간)</t>
    <phoneticPr fontId="2" type="noConversion"/>
  </si>
  <si>
    <t>김포 아라마리나</t>
    <phoneticPr fontId="2" type="noConversion"/>
  </si>
  <si>
    <t>49,047명</t>
    <phoneticPr fontId="2" type="noConversion"/>
  </si>
  <si>
    <t>전혜진</t>
    <phoneticPr fontId="2" type="noConversion"/>
  </si>
  <si>
    <t>031-5186-4032</t>
    <phoneticPr fontId="2" type="noConversion"/>
  </si>
  <si>
    <t>월곶 저잣거리 축제</t>
    <phoneticPr fontId="2" type="noConversion"/>
  </si>
  <si>
    <t>김포 월곶면 군하리</t>
    <phoneticPr fontId="2" type="noConversion"/>
  </si>
  <si>
    <t>김포 도심축제</t>
    <phoneticPr fontId="2" type="noConversion"/>
  </si>
  <si>
    <t>금빛수로</t>
    <phoneticPr fontId="2" type="noConversion"/>
  </si>
  <si>
    <t>3,305명</t>
    <phoneticPr fontId="2" type="noConversion"/>
  </si>
  <si>
    <t>이송은</t>
    <phoneticPr fontId="2" type="noConversion"/>
  </si>
  <si>
    <t>031-5186-4033</t>
    <phoneticPr fontId="2" type="noConversion"/>
  </si>
  <si>
    <t>파주시</t>
    <phoneticPr fontId="2" type="noConversion"/>
  </si>
  <si>
    <t>파주개성인삼축제</t>
    <phoneticPr fontId="2" type="noConversion"/>
  </si>
  <si>
    <t>임진각 광장</t>
    <phoneticPr fontId="2" type="noConversion"/>
  </si>
  <si>
    <t>파주개성인삼축제추진위원회</t>
    <phoneticPr fontId="2" type="noConversion"/>
  </si>
  <si>
    <t>김진환</t>
    <phoneticPr fontId="2" type="noConversion"/>
  </si>
  <si>
    <t>031-940-5281</t>
    <phoneticPr fontId="2" type="noConversion"/>
  </si>
  <si>
    <t>파주장단콩축제</t>
    <phoneticPr fontId="2" type="noConversion"/>
  </si>
  <si>
    <t>11.25.~11.27.</t>
    <phoneticPr fontId="2" type="noConversion"/>
  </si>
  <si>
    <t>파주장단콩축제추진위원회</t>
    <phoneticPr fontId="2" type="noConversion"/>
  </si>
  <si>
    <t>파주북소리축제</t>
    <phoneticPr fontId="2" type="noConversion"/>
  </si>
  <si>
    <t>파주출판도시</t>
    <phoneticPr fontId="2" type="noConversion"/>
  </si>
  <si>
    <t>6,303명</t>
    <phoneticPr fontId="2" type="noConversion"/>
  </si>
  <si>
    <t>출판도시 문화재단</t>
    <phoneticPr fontId="2" type="noConversion"/>
  </si>
  <si>
    <t>문화체육관광부 및 문화재청 소관 비영리법인의 설립 및 감독에 관한 규칙 제4조, 민법제32조</t>
    <phoneticPr fontId="2" type="noConversion"/>
  </si>
  <si>
    <t>최영환</t>
    <phoneticPr fontId="2" type="noConversion"/>
  </si>
  <si>
    <t>031-940-4721</t>
    <phoneticPr fontId="2" type="noConversion"/>
  </si>
  <si>
    <t>제20회 어린이책잔치</t>
    <phoneticPr fontId="2" type="noConversion"/>
  </si>
  <si>
    <t>18,500명</t>
    <phoneticPr fontId="2" type="noConversion"/>
  </si>
  <si>
    <t>이채현</t>
    <phoneticPr fontId="2" type="noConversion"/>
  </si>
  <si>
    <t>031-940-4723</t>
    <phoneticPr fontId="2" type="noConversion"/>
  </si>
  <si>
    <t>제17회 헤이리 예술축제</t>
    <phoneticPr fontId="2" type="noConversion"/>
  </si>
  <si>
    <t>9~11월</t>
    <phoneticPr fontId="2" type="noConversion"/>
  </si>
  <si>
    <t>헤이리 예술마을</t>
    <phoneticPr fontId="2" type="noConversion"/>
  </si>
  <si>
    <t>15,000명</t>
    <phoneticPr fontId="2" type="noConversion"/>
  </si>
  <si>
    <t>헤이리</t>
    <phoneticPr fontId="2" type="noConversion"/>
  </si>
  <si>
    <t>지역문화진흥법 제18조, 경기도 문화지구 관리 및 육성에 관한 조례</t>
    <phoneticPr fontId="2" type="noConversion"/>
  </si>
  <si>
    <t>채유빈</t>
    <phoneticPr fontId="2" type="noConversion"/>
  </si>
  <si>
    <t>031-940-8519</t>
    <phoneticPr fontId="2" type="noConversion"/>
  </si>
  <si>
    <t>율곡문화제</t>
    <phoneticPr fontId="2" type="noConversion"/>
  </si>
  <si>
    <t>율곡이이 유적지</t>
    <phoneticPr fontId="2" type="noConversion"/>
  </si>
  <si>
    <t>파주문화원</t>
    <phoneticPr fontId="2" type="noConversion"/>
  </si>
  <si>
    <t>파주문화원 지원 조례</t>
    <phoneticPr fontId="2" type="noConversion"/>
  </si>
  <si>
    <t>신지은</t>
    <phoneticPr fontId="2" type="noConversion"/>
  </si>
  <si>
    <t>031-940-4351</t>
    <phoneticPr fontId="2" type="noConversion"/>
  </si>
  <si>
    <t>의정부시</t>
    <phoneticPr fontId="2" type="noConversion"/>
  </si>
  <si>
    <t>제21회 의정부음악극축제</t>
    <phoneticPr fontId="2" type="noConversion"/>
  </si>
  <si>
    <t>5.3.~5.14.</t>
    <phoneticPr fontId="2" type="noConversion"/>
  </si>
  <si>
    <t>시청앞광장</t>
    <phoneticPr fontId="2" type="noConversion"/>
  </si>
  <si>
    <t>30,591명</t>
    <phoneticPr fontId="2" type="noConversion"/>
  </si>
  <si>
    <t>12명</t>
    <phoneticPr fontId="2" type="noConversion"/>
  </si>
  <si>
    <t>의정부문화재단</t>
    <phoneticPr fontId="2" type="noConversion"/>
  </si>
  <si>
    <t>의정부문화재단 설립 및 운영에 관한 조례(2019)</t>
    <phoneticPr fontId="2" type="noConversion"/>
  </si>
  <si>
    <t>김은미</t>
    <phoneticPr fontId="2" type="noConversion"/>
  </si>
  <si>
    <t>031-828-4342</t>
    <phoneticPr fontId="2" type="noConversion"/>
  </si>
  <si>
    <t>제4회 블랙뮤직페스티벌</t>
    <phoneticPr fontId="2" type="noConversion"/>
  </si>
  <si>
    <t>8.27.~8.28.</t>
    <phoneticPr fontId="2" type="noConversion"/>
  </si>
  <si>
    <t>1,287명</t>
    <phoneticPr fontId="2" type="noConversion"/>
  </si>
  <si>
    <t>56명</t>
    <phoneticPr fontId="2" type="noConversion"/>
  </si>
  <si>
    <t>의정부시</t>
  </si>
  <si>
    <t>회룡문화제</t>
  </si>
  <si>
    <t>의정부시 일원</t>
    <phoneticPr fontId="2" type="noConversion"/>
  </si>
  <si>
    <t>의정부문화원</t>
  </si>
  <si>
    <t>지방문화원진흥법 제4조</t>
  </si>
  <si>
    <t>윤진아</t>
  </si>
  <si>
    <t>031-828-4332</t>
  </si>
  <si>
    <t>광주시</t>
    <phoneticPr fontId="2" type="noConversion"/>
  </si>
  <si>
    <t>제27회 광주남한산성문화제</t>
    <phoneticPr fontId="2" type="noConversion"/>
  </si>
  <si>
    <t>9.16.09.18.</t>
    <phoneticPr fontId="2" type="noConversion"/>
  </si>
  <si>
    <t>남한산성도립공원</t>
    <phoneticPr fontId="2" type="noConversion"/>
  </si>
  <si>
    <t>광주시문화재단</t>
    <phoneticPr fontId="2" type="noConversion"/>
  </si>
  <si>
    <t>광주시문화재단 설립 및 운영에 관한 조례(2019년)</t>
    <phoneticPr fontId="2" type="noConversion"/>
  </si>
  <si>
    <t>서남희</t>
    <phoneticPr fontId="2" type="noConversion"/>
  </si>
  <si>
    <t>031-760-1724</t>
    <phoneticPr fontId="2" type="noConversion"/>
  </si>
  <si>
    <t>제25회 광주왕실도자기축제</t>
    <phoneticPr fontId="2" type="noConversion"/>
  </si>
  <si>
    <t>곤지암도자공원</t>
    <phoneticPr fontId="2" type="noConversion"/>
  </si>
  <si>
    <t>제2회 광주허난설헌문화제</t>
    <phoneticPr fontId="2" type="noConversion"/>
  </si>
  <si>
    <t>6.17.~6.19.</t>
    <phoneticPr fontId="2" type="noConversion"/>
  </si>
  <si>
    <t>남한산성아트홀</t>
    <phoneticPr fontId="2" type="noConversion"/>
  </si>
  <si>
    <t>600명</t>
    <phoneticPr fontId="2" type="noConversion"/>
  </si>
  <si>
    <t>이어상</t>
    <phoneticPr fontId="2" type="noConversion"/>
  </si>
  <si>
    <t>031-760-2692</t>
    <phoneticPr fontId="2" type="noConversion"/>
  </si>
  <si>
    <t>제1회 곤지암소머리국밥축제</t>
    <phoneticPr fontId="2" type="noConversion"/>
  </si>
  <si>
    <t>4.16.~4.17.</t>
    <phoneticPr fontId="2" type="noConversion"/>
  </si>
  <si>
    <t>곤지암읍구시가지</t>
    <phoneticPr fontId="2" type="noConversion"/>
  </si>
  <si>
    <t>광주시곤지암소머리국밥축제위원회</t>
    <phoneticPr fontId="2" type="noConversion"/>
  </si>
  <si>
    <t>광주시 곤지암 소머리국밥축제 운영 및 지원 조례</t>
    <phoneticPr fontId="2" type="noConversion"/>
  </si>
  <si>
    <t>이지원</t>
    <phoneticPr fontId="2" type="noConversion"/>
  </si>
  <si>
    <t>031-760-4924</t>
    <phoneticPr fontId="2" type="noConversion"/>
  </si>
  <si>
    <t>제20회 퇴촌토마토축제</t>
    <phoneticPr fontId="2" type="noConversion"/>
  </si>
  <si>
    <t>퇴촌공설운동장</t>
    <phoneticPr fontId="2" type="noConversion"/>
  </si>
  <si>
    <t>퇴촌토마토축제위원회</t>
    <phoneticPr fontId="2" type="noConversion"/>
  </si>
  <si>
    <t>광주시 퇴촌 토마토축제 운영 및 지원 조례</t>
    <phoneticPr fontId="2" type="noConversion"/>
  </si>
  <si>
    <t>김윤호</t>
    <phoneticPr fontId="2" type="noConversion"/>
  </si>
  <si>
    <t>031-760-4819</t>
    <phoneticPr fontId="2" type="noConversion"/>
  </si>
  <si>
    <t>광명시</t>
    <phoneticPr fontId="2" type="noConversion"/>
  </si>
  <si>
    <t>오리문화제</t>
    <phoneticPr fontId="2" type="noConversion"/>
  </si>
  <si>
    <t>충현박물관(오리 이원익 영우 등)</t>
    <phoneticPr fontId="2" type="noConversion"/>
  </si>
  <si>
    <t>광명문화원</t>
    <phoneticPr fontId="2" type="noConversion"/>
  </si>
  <si>
    <t>지방문화원진흥법</t>
    <phoneticPr fontId="2" type="noConversion"/>
  </si>
  <si>
    <t>정지연</t>
    <phoneticPr fontId="2" type="noConversion"/>
  </si>
  <si>
    <t>02-2680-6498</t>
    <phoneticPr fontId="2" type="noConversion"/>
  </si>
  <si>
    <t>광명농악대축제</t>
    <phoneticPr fontId="2" type="noConversion"/>
  </si>
  <si>
    <t>광명농악보존회</t>
    <phoneticPr fontId="2" type="noConversion"/>
  </si>
  <si>
    <t>무형문화재 보전 및 진흥에 관한 법률</t>
    <phoneticPr fontId="2" type="noConversion"/>
  </si>
  <si>
    <t>홍재석</t>
    <phoneticPr fontId="2" type="noConversion"/>
  </si>
  <si>
    <t>02-2680-0761</t>
    <phoneticPr fontId="2" type="noConversion"/>
  </si>
  <si>
    <t>구름산예술제</t>
    <phoneticPr fontId="2" type="noConversion"/>
  </si>
  <si>
    <t>(사)한국예총광명지회</t>
    <phoneticPr fontId="2" type="noConversion"/>
  </si>
  <si>
    <t>문화체육관광부 및 문화재청 소관 비영리법인의 설립및감독에관한규칙</t>
    <phoneticPr fontId="2" type="noConversion"/>
  </si>
  <si>
    <t>오선미</t>
    <phoneticPr fontId="2" type="noConversion"/>
  </si>
  <si>
    <t>02-2680-2160</t>
    <phoneticPr fontId="2" type="noConversion"/>
  </si>
  <si>
    <t>위드코로나 문화백신『switch  : 스위치』기획축제</t>
    <phoneticPr fontId="2" type="noConversion"/>
  </si>
  <si>
    <t>하반기</t>
    <phoneticPr fontId="2" type="noConversion"/>
  </si>
  <si>
    <t>하남시</t>
    <phoneticPr fontId="2" type="noConversion"/>
  </si>
  <si>
    <t>하남이성산성문화축제</t>
    <phoneticPr fontId="2" type="noConversion"/>
  </si>
  <si>
    <t>60,000명</t>
    <phoneticPr fontId="2" type="noConversion"/>
  </si>
  <si>
    <t>하남문화재단</t>
    <phoneticPr fontId="2" type="noConversion"/>
  </si>
  <si>
    <t>하남문화재단 설립 및 운영 지원 조례</t>
    <phoneticPr fontId="2" type="noConversion"/>
  </si>
  <si>
    <t>신민정</t>
    <phoneticPr fontId="2" type="noConversion"/>
  </si>
  <si>
    <t>031-790-5535</t>
    <phoneticPr fontId="2" type="noConversion"/>
  </si>
  <si>
    <t>군포시</t>
    <phoneticPr fontId="2" type="noConversion"/>
  </si>
  <si>
    <t>군포철쭉축제</t>
    <phoneticPr fontId="2" type="noConversion"/>
  </si>
  <si>
    <t>군포철쭉공원, 초막골생태공원 등</t>
    <phoneticPr fontId="2" type="noConversion"/>
  </si>
  <si>
    <t>군포문화재단</t>
    <phoneticPr fontId="2" type="noConversion"/>
  </si>
  <si>
    <t>군포문화재단 설립 및 운영에 관한 조례</t>
    <phoneticPr fontId="2" type="noConversion"/>
  </si>
  <si>
    <t>송영미</t>
    <phoneticPr fontId="2" type="noConversion"/>
  </si>
  <si>
    <t>031-390-0063</t>
    <phoneticPr fontId="2" type="noConversion"/>
  </si>
  <si>
    <t>오산시</t>
    <phoneticPr fontId="2" type="noConversion"/>
  </si>
  <si>
    <t>제13회 오산 독산성문화제</t>
    <phoneticPr fontId="2" type="noConversion"/>
  </si>
  <si>
    <t>고인돌공원 및 독산성 세마대지 일원</t>
    <phoneticPr fontId="2" type="noConversion"/>
  </si>
  <si>
    <t>오산문화재단</t>
    <phoneticPr fontId="2" type="noConversion"/>
  </si>
  <si>
    <t>오산문화재단 설립및 운영 조례(2012년 제정)</t>
    <phoneticPr fontId="2" type="noConversion"/>
  </si>
  <si>
    <t>이해나</t>
    <phoneticPr fontId="2" type="noConversion"/>
  </si>
  <si>
    <t>031-8036-7613</t>
    <phoneticPr fontId="2" type="noConversion"/>
  </si>
  <si>
    <t>양주시</t>
    <phoneticPr fontId="2" type="noConversion"/>
  </si>
  <si>
    <t>양주 회암사지 왕실축제</t>
    <phoneticPr fontId="2" type="noConversion"/>
  </si>
  <si>
    <t>9월 말~10월 초(2일간)</t>
    <phoneticPr fontId="2" type="noConversion"/>
  </si>
  <si>
    <t>회암사지 일원</t>
    <phoneticPr fontId="2" type="noConversion"/>
  </si>
  <si>
    <t>88,894명</t>
    <phoneticPr fontId="2" type="noConversion"/>
  </si>
  <si>
    <t>김종임</t>
    <phoneticPr fontId="2" type="noConversion"/>
  </si>
  <si>
    <t>031-8082-4171</t>
    <phoneticPr fontId="2" type="noConversion"/>
  </si>
  <si>
    <t>양주문화재야행</t>
    <phoneticPr fontId="2" type="noConversion"/>
  </si>
  <si>
    <t>9.23.~9.25.</t>
    <phoneticPr fontId="2" type="noConversion"/>
  </si>
  <si>
    <t>양주관아지 일원</t>
    <phoneticPr fontId="2" type="noConversion"/>
  </si>
  <si>
    <t>24,760명</t>
    <phoneticPr fontId="2" type="noConversion"/>
  </si>
  <si>
    <t>조범규</t>
    <phoneticPr fontId="2" type="noConversion"/>
  </si>
  <si>
    <t>031-8082-5673</t>
    <phoneticPr fontId="2" type="noConversion"/>
  </si>
  <si>
    <t>양주 천만송이 천일홍 축제</t>
    <phoneticPr fontId="2" type="noConversion"/>
  </si>
  <si>
    <t>양주나리농원 일원</t>
    <phoneticPr fontId="2" type="noConversion"/>
  </si>
  <si>
    <t>이봉숙</t>
    <phoneticPr fontId="2" type="noConversion"/>
  </si>
  <si>
    <t>031-8082-5655</t>
    <phoneticPr fontId="2" type="noConversion"/>
  </si>
  <si>
    <t>이천시</t>
  </si>
  <si>
    <t>이천체험문화축제</t>
  </si>
  <si>
    <t xml:space="preserve">5월 셋째주 </t>
    <phoneticPr fontId="2" type="noConversion"/>
  </si>
  <si>
    <t>이천나드리</t>
  </si>
  <si>
    <t>이천시 체험관광 활성화 지원 조례(2019년)</t>
  </si>
  <si>
    <t>김은정</t>
  </si>
  <si>
    <t>031-645-3679</t>
  </si>
  <si>
    <t>제24회 이천쌀문화축제</t>
  </si>
  <si>
    <t>문화예술, 전통역사, 특산물</t>
    <phoneticPr fontId="2" type="noConversion"/>
  </si>
  <si>
    <t>설봉공원</t>
  </si>
  <si>
    <t>이천문화재단</t>
  </si>
  <si>
    <t>이천문화재단 설립에 관한 조례(2021년)</t>
  </si>
  <si>
    <t>신윤희</t>
  </si>
  <si>
    <t>031-645-3653</t>
  </si>
  <si>
    <t>제36회 이천도자기축제</t>
  </si>
  <si>
    <t>예스파크</t>
  </si>
  <si>
    <t>제8회 이천인삼축제</t>
  </si>
  <si>
    <t>11.4.~11.6.</t>
    <phoneticPr fontId="2" type="noConversion"/>
  </si>
  <si>
    <t>50명</t>
  </si>
  <si>
    <t>이천인삼축제추진위원회</t>
  </si>
  <si>
    <t>이천시 인삼축제추진위원회 운영조례</t>
  </si>
  <si>
    <t>백현숙</t>
  </si>
  <si>
    <t>031-644-2322</t>
  </si>
  <si>
    <t>제12회 이천시 주민자치평생학습축제</t>
  </si>
  <si>
    <t>4~5월 중(3일간)</t>
    <phoneticPr fontId="2" type="noConversion"/>
  </si>
  <si>
    <t>이천시평생학습실무추진위원회</t>
  </si>
  <si>
    <t>이천시 평생학습조례 제6조</t>
  </si>
  <si>
    <t>윤진희</t>
  </si>
  <si>
    <t>031-644-4334</t>
  </si>
  <si>
    <t>이천시국제일루전페스티벌</t>
  </si>
  <si>
    <t>이천시 설봉공원, 아트홀 등</t>
  </si>
  <si>
    <t>이천시국제일루전페스티벌 조직위원회</t>
  </si>
  <si>
    <t>이천국제일루전페스티벌 조직위원회 설치 및 운영조례</t>
  </si>
  <si>
    <t>김연희</t>
  </si>
  <si>
    <t>031-645-3009</t>
  </si>
  <si>
    <t>제26회 햇사레장호원복숭아축제</t>
  </si>
  <si>
    <t>9월 중(3일간)</t>
  </si>
  <si>
    <t>햇사레농산물산지유통센터</t>
    <phoneticPr fontId="2" type="noConversion"/>
  </si>
  <si>
    <t>햇사레장호원복숭아축제추진위원회</t>
  </si>
  <si>
    <t>이천시 장호원복숭아축제추진위원회 운영조례</t>
  </si>
  <si>
    <t>구경화</t>
  </si>
  <si>
    <t>031-644-2323</t>
  </si>
  <si>
    <t>이천백사산수유꽃축제</t>
  </si>
  <si>
    <t>3~4월 중(3일간)</t>
    <phoneticPr fontId="2" type="noConversion"/>
  </si>
  <si>
    <t>백사면 산수유마을</t>
  </si>
  <si>
    <t>이천백사산수유꽃축제추진위원회</t>
  </si>
  <si>
    <t>이천백사산수유꽃축제추진위원회 운영조례</t>
  </si>
  <si>
    <t>조완근</t>
  </si>
  <si>
    <t>031-644-8511</t>
  </si>
  <si>
    <t>설봉산 별빛축제</t>
  </si>
  <si>
    <t>이천예총</t>
  </si>
  <si>
    <t>이천시 문화예술 육성 및 지원에 관한 조례</t>
  </si>
  <si>
    <t>이남희</t>
  </si>
  <si>
    <t>031-645-3662</t>
  </si>
  <si>
    <t>구리시</t>
    <phoneticPr fontId="2" type="noConversion"/>
  </si>
  <si>
    <t>구리 행복 365 축제</t>
    <phoneticPr fontId="2" type="noConversion"/>
  </si>
  <si>
    <t>1.1.~12.31.(365일간)</t>
    <phoneticPr fontId="2" type="noConversion"/>
  </si>
  <si>
    <t>광장,공원, 전통시장 등</t>
    <phoneticPr fontId="2" type="noConversion"/>
  </si>
  <si>
    <t>32,000명</t>
    <phoneticPr fontId="2" type="noConversion"/>
  </si>
  <si>
    <t>이선희</t>
    <phoneticPr fontId="2" type="noConversion"/>
  </si>
  <si>
    <t>031-550-2065</t>
    <phoneticPr fontId="2" type="noConversion"/>
  </si>
  <si>
    <t>제1회 구리 꽃길 축제</t>
    <phoneticPr fontId="2" type="noConversion"/>
  </si>
  <si>
    <t>구리시 체육관로 일대</t>
    <phoneticPr fontId="2" type="noConversion"/>
  </si>
  <si>
    <t>한국예총구리지회</t>
    <phoneticPr fontId="2" type="noConversion"/>
  </si>
  <si>
    <t>민간행사보조사업
- 축제추진위 구성 추진 예정
- 후원:구리시</t>
    <phoneticPr fontId="2" type="noConversion"/>
  </si>
  <si>
    <t>안성시</t>
    <phoneticPr fontId="2" type="noConversion"/>
  </si>
  <si>
    <t>안성맞춤 남사당 바우덕이 축제</t>
    <phoneticPr fontId="2" type="noConversion"/>
  </si>
  <si>
    <t>9월 말~10월 초</t>
    <phoneticPr fontId="2" type="noConversion"/>
  </si>
  <si>
    <t>안성맞춤랜드</t>
    <phoneticPr fontId="2" type="noConversion"/>
  </si>
  <si>
    <t>안성맞춤 남사당 바우덕이 축제위원회</t>
    <phoneticPr fontId="2" type="noConversion"/>
  </si>
  <si>
    <t>안성맞춤 남사당 바우덕이 축제 조례 시행규칙</t>
    <phoneticPr fontId="2" type="noConversion"/>
  </si>
  <si>
    <t>김준형</t>
    <phoneticPr fontId="2" type="noConversion"/>
  </si>
  <si>
    <t>031-678-2513</t>
    <phoneticPr fontId="2" type="noConversion"/>
  </si>
  <si>
    <t>안성시</t>
  </si>
  <si>
    <t>안성맞춤포도축제</t>
  </si>
  <si>
    <t>300명</t>
  </si>
  <si>
    <t>안성맞춤포도축제위원회</t>
    <phoneticPr fontId="2" type="noConversion"/>
  </si>
  <si>
    <t>김조아</t>
  </si>
  <si>
    <t>031-678-3732</t>
    <phoneticPr fontId="2" type="noConversion"/>
  </si>
  <si>
    <t>죽주대고려문화축제</t>
    <phoneticPr fontId="2" type="noConversion"/>
  </si>
  <si>
    <t>죽산시내</t>
    <phoneticPr fontId="2" type="noConversion"/>
  </si>
  <si>
    <t>죽주대고려문화축제위원회</t>
    <phoneticPr fontId="2" type="noConversion"/>
  </si>
  <si>
    <t>문화예술진흥법 제39조</t>
    <phoneticPr fontId="2" type="noConversion"/>
  </si>
  <si>
    <t>유근원</t>
    <phoneticPr fontId="2" type="noConversion"/>
  </si>
  <si>
    <t>031-678-3912</t>
    <phoneticPr fontId="2" type="noConversion"/>
  </si>
  <si>
    <t>의왕시</t>
    <phoneticPr fontId="14" type="noConversion"/>
  </si>
  <si>
    <t>제17회 의왕철도축제</t>
    <phoneticPr fontId="14" type="noConversion"/>
  </si>
  <si>
    <t>기타(주민화합 등)</t>
    <phoneticPr fontId="14" type="noConversion"/>
  </si>
  <si>
    <t>5월 중
(2일간)</t>
    <phoneticPr fontId="14" type="noConversion"/>
  </si>
  <si>
    <t xml:space="preserve">공원
</t>
    <phoneticPr fontId="14" type="noConversion"/>
  </si>
  <si>
    <t>의왕시축제추진위원회</t>
    <phoneticPr fontId="14" type="noConversion"/>
  </si>
  <si>
    <t>의왕시 축제추진위원회 설치 및 운영 등에 관한 죠례</t>
    <phoneticPr fontId="2" type="noConversion"/>
  </si>
  <si>
    <t>권대호</t>
    <phoneticPr fontId="2" type="noConversion"/>
  </si>
  <si>
    <t>031-345-2548</t>
    <phoneticPr fontId="2" type="noConversion"/>
  </si>
  <si>
    <t>제17회 의왕백운호수축제</t>
    <phoneticPr fontId="14" type="noConversion"/>
  </si>
  <si>
    <t>9월 중
(2일간)</t>
    <phoneticPr fontId="14" type="noConversion"/>
  </si>
  <si>
    <t>거리,호수근처</t>
    <phoneticPr fontId="14" type="noConversion"/>
  </si>
  <si>
    <t>포천시</t>
    <phoneticPr fontId="2" type="noConversion"/>
  </si>
  <si>
    <t>포천 산정호수 명성산 억새꽃 축제</t>
    <phoneticPr fontId="2" type="noConversion"/>
  </si>
  <si>
    <t>10.8.~10.16.(9일간)</t>
    <phoneticPr fontId="2" type="noConversion"/>
  </si>
  <si>
    <t>산정호수</t>
    <phoneticPr fontId="2" type="noConversion"/>
  </si>
  <si>
    <t>418,295명</t>
    <phoneticPr fontId="2" type="noConversion"/>
  </si>
  <si>
    <t>문화재단</t>
    <phoneticPr fontId="2" type="noConversion"/>
  </si>
  <si>
    <t>포천시 문화예술 지원 및 육성에 관한 조례</t>
    <phoneticPr fontId="2" type="noConversion"/>
  </si>
  <si>
    <t>이민준</t>
    <phoneticPr fontId="2" type="noConversion"/>
  </si>
  <si>
    <t>031-538-2068</t>
    <phoneticPr fontId="2" type="noConversion"/>
  </si>
  <si>
    <t>백운계곡 동장군 축제</t>
    <phoneticPr fontId="2" type="noConversion"/>
  </si>
  <si>
    <t>22.12.24.~23.2.6.</t>
    <phoneticPr fontId="2" type="noConversion"/>
  </si>
  <si>
    <t>도리돌마을</t>
    <phoneticPr fontId="2" type="noConversion"/>
  </si>
  <si>
    <t>포천시 축제 발전 및 운영에 관한 조례</t>
    <phoneticPr fontId="2" type="noConversion"/>
  </si>
  <si>
    <t>양평군</t>
    <phoneticPr fontId="2" type="noConversion"/>
  </si>
  <si>
    <t>제23회 양평단월고로쇠축제</t>
    <phoneticPr fontId="2" type="noConversion"/>
  </si>
  <si>
    <t>단월레포츠공원</t>
    <phoneticPr fontId="2" type="noConversion"/>
  </si>
  <si>
    <t>양평단월고로쇠축제추진위원회</t>
    <phoneticPr fontId="2" type="noConversion"/>
  </si>
  <si>
    <t>양평군 축제 운영 및 지원에 관한 조례</t>
    <phoneticPr fontId="2" type="noConversion"/>
  </si>
  <si>
    <t>판예린</t>
    <phoneticPr fontId="2" type="noConversion"/>
  </si>
  <si>
    <t>031-770-3192</t>
    <phoneticPr fontId="2" type="noConversion"/>
  </si>
  <si>
    <t>제19회 양평 산수유 한우 축제</t>
    <phoneticPr fontId="2" type="noConversion"/>
  </si>
  <si>
    <t>개군면 레포츠공원</t>
    <phoneticPr fontId="2" type="noConversion"/>
  </si>
  <si>
    <t>양평산수유․한우축제추진위원회</t>
    <phoneticPr fontId="2" type="noConversion"/>
  </si>
  <si>
    <t>고영운</t>
    <phoneticPr fontId="2" type="noConversion"/>
  </si>
  <si>
    <t>031-770-3342</t>
    <phoneticPr fontId="2" type="noConversion"/>
  </si>
  <si>
    <t>양평군</t>
  </si>
  <si>
    <t>제11회 용문면 산나물축제</t>
    <phoneticPr fontId="2" type="noConversion"/>
  </si>
  <si>
    <t>4.29.~5.1.</t>
    <phoneticPr fontId="2" type="noConversion"/>
  </si>
  <si>
    <t>용문역, 용문산관광지</t>
    <phoneticPr fontId="2" type="noConversion"/>
  </si>
  <si>
    <t>용문면산나물축제추진위원회</t>
    <phoneticPr fontId="2" type="noConversion"/>
  </si>
  <si>
    <t>비영리기관</t>
  </si>
  <si>
    <t>양평군 축제 운영 및 지원에 관한 조례</t>
  </si>
  <si>
    <t>한상봉</t>
  </si>
  <si>
    <t>031-770-3332</t>
  </si>
  <si>
    <t>제12회 용문산 산나물 축제</t>
    <phoneticPr fontId="2" type="noConversion"/>
  </si>
  <si>
    <t>용문산 관광지</t>
    <phoneticPr fontId="2" type="noConversion"/>
  </si>
  <si>
    <t>137,059명</t>
    <phoneticPr fontId="2" type="noConversion"/>
  </si>
  <si>
    <t>양평군 축제추진위원회</t>
    <phoneticPr fontId="2" type="noConversion"/>
  </si>
  <si>
    <t>곽철승</t>
    <phoneticPr fontId="2" type="noConversion"/>
  </si>
  <si>
    <t>031-770-2308</t>
    <phoneticPr fontId="2" type="noConversion"/>
  </si>
  <si>
    <t>제9회 양평 워터워 페스티벌(양평 물축제)</t>
    <phoneticPr fontId="2" type="noConversion"/>
  </si>
  <si>
    <t>옥천면 레포츠공원 및 
사탄천 일원</t>
    <phoneticPr fontId="2" type="noConversion"/>
  </si>
  <si>
    <t>옥천면물축제추진위원회</t>
    <phoneticPr fontId="2" type="noConversion"/>
  </si>
  <si>
    <t>정우선</t>
    <phoneticPr fontId="2" type="noConversion"/>
  </si>
  <si>
    <t>031-770-3132</t>
    <phoneticPr fontId="2" type="noConversion"/>
  </si>
  <si>
    <t>제4회 양평부추축제</t>
    <phoneticPr fontId="2" type="noConversion"/>
  </si>
  <si>
    <t>10.24.~10.25.</t>
    <phoneticPr fontId="2" type="noConversion"/>
  </si>
  <si>
    <t>양동면 석곡천일원</t>
    <phoneticPr fontId="2" type="noConversion"/>
  </si>
  <si>
    <t>양평부추축제위원회</t>
    <phoneticPr fontId="2" type="noConversion"/>
  </si>
  <si>
    <t>이하영</t>
    <phoneticPr fontId="2" type="noConversion"/>
  </si>
  <si>
    <t>031-770-3253</t>
    <phoneticPr fontId="2" type="noConversion"/>
  </si>
  <si>
    <t>여주시</t>
    <phoneticPr fontId="2" type="noConversion"/>
  </si>
  <si>
    <t>제34회 여주도자기축제</t>
    <phoneticPr fontId="2" type="noConversion"/>
  </si>
  <si>
    <t>4.9.~4.17.</t>
    <phoneticPr fontId="2" type="noConversion"/>
  </si>
  <si>
    <t>여주프리미엄아울렛 일원</t>
    <phoneticPr fontId="2" type="noConversion"/>
  </si>
  <si>
    <t>240,000명</t>
    <phoneticPr fontId="2" type="noConversion"/>
  </si>
  <si>
    <t>여주세종
문화재단</t>
    <phoneticPr fontId="2" type="noConversion"/>
  </si>
  <si>
    <t>여주세종문화재단 설립 및 
운영에 관한 조례(2017년)</t>
    <phoneticPr fontId="2" type="noConversion"/>
  </si>
  <si>
    <t>정영훈</t>
    <phoneticPr fontId="2" type="noConversion"/>
  </si>
  <si>
    <t>031-881-9693</t>
    <phoneticPr fontId="2" type="noConversion"/>
  </si>
  <si>
    <t>여주오곡나루축제</t>
    <phoneticPr fontId="2" type="noConversion"/>
  </si>
  <si>
    <r>
      <t>10월 중(3일간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</si>
  <si>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신륵사 관광지 일원</t>
    <phoneticPr fontId="2" type="noConversion"/>
  </si>
  <si>
    <t>42,604명</t>
    <phoneticPr fontId="2" type="noConversion"/>
  </si>
  <si>
    <t>이영미</t>
    <phoneticPr fontId="2" type="noConversion"/>
  </si>
  <si>
    <t>031-881-9692</t>
    <phoneticPr fontId="2" type="noConversion"/>
  </si>
  <si>
    <t>제6회 여주흥천남한강벚꽃축제</t>
    <phoneticPr fontId="2" type="noConversion"/>
  </si>
  <si>
    <t>4.8.~4.10.</t>
    <phoneticPr fontId="2" type="noConversion"/>
  </si>
  <si>
    <t>흥천면 귀백리</t>
    <phoneticPr fontId="2" type="noConversion"/>
  </si>
  <si>
    <t>250,000명</t>
    <phoneticPr fontId="2" type="noConversion"/>
  </si>
  <si>
    <t>여주흥천남한강벚꽃축제위원회</t>
    <phoneticPr fontId="2" type="noConversion"/>
  </si>
  <si>
    <t>조경희</t>
    <phoneticPr fontId="2" type="noConversion"/>
  </si>
  <si>
    <t>031-887-3875</t>
    <phoneticPr fontId="2" type="noConversion"/>
  </si>
  <si>
    <t>제16회 금사참외축제</t>
    <phoneticPr fontId="2" type="noConversion"/>
  </si>
  <si>
    <t>5.27.~5.29.</t>
    <phoneticPr fontId="2" type="noConversion"/>
  </si>
  <si>
    <t>금사근린공원 일원</t>
    <phoneticPr fontId="2" type="noConversion"/>
  </si>
  <si>
    <t>12,000명</t>
    <phoneticPr fontId="2" type="noConversion"/>
  </si>
  <si>
    <t>금사참외축제위원회</t>
    <phoneticPr fontId="2" type="noConversion"/>
  </si>
  <si>
    <t>여주시 축제 발전과 지원에 관한 조례(2015)</t>
    <phoneticPr fontId="2" type="noConversion"/>
  </si>
  <si>
    <t>김명식</t>
    <phoneticPr fontId="2" type="noConversion"/>
  </si>
  <si>
    <t>031-887-3902</t>
    <phoneticPr fontId="2" type="noConversion"/>
  </si>
  <si>
    <t>여주선비장터 축제</t>
  </si>
  <si>
    <t>10월 초(2일간)</t>
  </si>
  <si>
    <t>가남읍 시장, 
도로변</t>
  </si>
  <si>
    <t>가남읍 축제추진위원회</t>
    <phoneticPr fontId="2" type="noConversion"/>
  </si>
  <si>
    <t>이경재</t>
    <phoneticPr fontId="2" type="noConversion"/>
  </si>
  <si>
    <t>031-887-3833</t>
    <phoneticPr fontId="2" type="noConversion"/>
  </si>
  <si>
    <t>제18회 산북품실축제</t>
    <phoneticPr fontId="2" type="noConversion"/>
  </si>
  <si>
    <t>산북체육공원 일원</t>
    <phoneticPr fontId="2" type="noConversion"/>
  </si>
  <si>
    <t>산북품실축제위원회</t>
    <phoneticPr fontId="2" type="noConversion"/>
  </si>
  <si>
    <t>박민정</t>
    <phoneticPr fontId="2" type="noConversion"/>
  </si>
  <si>
    <t>031-887-3913</t>
    <phoneticPr fontId="2" type="noConversion"/>
  </si>
  <si>
    <t>동두천시</t>
    <phoneticPr fontId="2" type="noConversion"/>
  </si>
  <si>
    <t>소요단풍문화제</t>
    <phoneticPr fontId="2" type="noConversion"/>
  </si>
  <si>
    <t>소요산 야외음악당</t>
    <phoneticPr fontId="2" type="noConversion"/>
  </si>
  <si>
    <t>동두천문화원</t>
    <phoneticPr fontId="2" type="noConversion"/>
  </si>
  <si>
    <t>031-860-2063</t>
    <phoneticPr fontId="2" type="noConversion"/>
  </si>
  <si>
    <t>동두천락페스티벌</t>
    <phoneticPr fontId="2" type="noConversion"/>
  </si>
  <si>
    <t>동두천락페스티벌조직위원회</t>
    <phoneticPr fontId="2" type="noConversion"/>
  </si>
  <si>
    <t>과천시</t>
    <phoneticPr fontId="2" type="noConversion"/>
  </si>
  <si>
    <t>과천축제</t>
    <phoneticPr fontId="2" type="noConversion"/>
  </si>
  <si>
    <t>과천시 일원</t>
    <phoneticPr fontId="2" type="noConversion"/>
  </si>
  <si>
    <t>과천문화재단</t>
    <phoneticPr fontId="2" type="noConversion"/>
  </si>
  <si>
    <t>과천문화재단 설립 및 운영에 관한 조례</t>
    <phoneticPr fontId="2" type="noConversion"/>
  </si>
  <si>
    <t>김효현</t>
    <phoneticPr fontId="2" type="noConversion"/>
  </si>
  <si>
    <t>02-3677-2065</t>
    <phoneticPr fontId="2" type="noConversion"/>
  </si>
  <si>
    <t>가평군</t>
    <phoneticPr fontId="2" type="noConversion"/>
  </si>
  <si>
    <t>자라섬 재즈페스티벌</t>
    <phoneticPr fontId="2" type="noConversion"/>
  </si>
  <si>
    <t>자라섬</t>
    <phoneticPr fontId="2" type="noConversion"/>
  </si>
  <si>
    <t>4,500명</t>
    <phoneticPr fontId="2" type="noConversion"/>
  </si>
  <si>
    <t>(사)문화현상</t>
    <phoneticPr fontId="2" type="noConversion"/>
  </si>
  <si>
    <t>황승현</t>
    <phoneticPr fontId="2" type="noConversion"/>
  </si>
  <si>
    <t>031-580-4322</t>
    <phoneticPr fontId="2" type="noConversion"/>
  </si>
  <si>
    <t>제1회 가평 가을꽃 거리축제</t>
    <phoneticPr fontId="2" type="noConversion"/>
  </si>
  <si>
    <t>9~10월 중(3주간)</t>
    <phoneticPr fontId="2" type="noConversion"/>
  </si>
  <si>
    <t>음악역1939</t>
    <phoneticPr fontId="2" type="noConversion"/>
  </si>
  <si>
    <t>연천군</t>
    <phoneticPr fontId="2" type="noConversion"/>
  </si>
  <si>
    <t>제29회 연천 구석기 축제</t>
    <phoneticPr fontId="2" type="noConversion"/>
  </si>
  <si>
    <t>연천 전곡리 유적</t>
    <phoneticPr fontId="2" type="noConversion"/>
  </si>
  <si>
    <t>(미집계)</t>
    <phoneticPr fontId="2" type="noConversion"/>
  </si>
  <si>
    <t>연천구석기축제추진위원회</t>
    <phoneticPr fontId="2" type="noConversion"/>
  </si>
  <si>
    <t>연천구석기축제및연천구석기겨울여행운영조례</t>
    <phoneticPr fontId="2" type="noConversion"/>
  </si>
  <si>
    <t>정세미</t>
    <phoneticPr fontId="2" type="noConversion"/>
  </si>
  <si>
    <t>031-839-2562</t>
    <phoneticPr fontId="2" type="noConversion"/>
  </si>
  <si>
    <t>연천율무축제(연천농특산물큰장터)</t>
    <phoneticPr fontId="2" type="noConversion"/>
  </si>
  <si>
    <t>연천군농산물큰장터추진위원회</t>
    <phoneticPr fontId="2" type="noConversion"/>
  </si>
  <si>
    <t>연천군 농산물 큰장터 축제 운영 조례</t>
    <phoneticPr fontId="2" type="noConversion"/>
  </si>
  <si>
    <t>김영길</t>
    <phoneticPr fontId="2" type="noConversion"/>
  </si>
  <si>
    <t>031-839-2313</t>
    <phoneticPr fontId="2" type="noConversion"/>
  </si>
  <si>
    <t>연천국화축제</t>
    <phoneticPr fontId="2" type="noConversion"/>
  </si>
  <si>
    <t>이승일</t>
    <phoneticPr fontId="2" type="noConversion"/>
  </si>
  <si>
    <t>031-839-4214</t>
    <phoneticPr fontId="2" type="noConversion"/>
  </si>
  <si>
    <t>제9회 통일바라기 축제</t>
    <phoneticPr fontId="2" type="noConversion"/>
  </si>
  <si>
    <t>연천 호로고루 통일바라기공원</t>
    <phoneticPr fontId="2" type="noConversion"/>
  </si>
  <si>
    <t>233,176명</t>
    <phoneticPr fontId="2" type="noConversion"/>
  </si>
  <si>
    <t>김정은</t>
    <phoneticPr fontId="2" type="noConversion"/>
  </si>
  <si>
    <t>031-839-2740</t>
    <phoneticPr fontId="2" type="noConversion"/>
  </si>
  <si>
    <t>고려인삼축제</t>
    <phoneticPr fontId="2" type="noConversion"/>
  </si>
  <si>
    <t>연천군인삼연구회</t>
    <phoneticPr fontId="2" type="noConversion"/>
  </si>
  <si>
    <t>황의섭</t>
    <phoneticPr fontId="2" type="noConversion"/>
  </si>
  <si>
    <t>031-839-2826</t>
    <phoneticPr fontId="2" type="noConversion"/>
  </si>
  <si>
    <t>제1회 임진강 댑싸리공원 축제</t>
    <phoneticPr fontId="2" type="noConversion"/>
  </si>
  <si>
    <t>임진강 댑싸리공원</t>
    <phoneticPr fontId="2" type="noConversion"/>
  </si>
  <si>
    <t>왕창원</t>
    <phoneticPr fontId="2" type="noConversion"/>
  </si>
  <si>
    <t>031-839-2739</t>
    <phoneticPr fontId="2" type="noConversion"/>
  </si>
  <si>
    <t>제1회 당포성 별빛 축제</t>
    <phoneticPr fontId="2" type="noConversion"/>
  </si>
  <si>
    <t>연천 당포성</t>
    <phoneticPr fontId="2" type="noConversion"/>
  </si>
  <si>
    <t>최지영</t>
    <phoneticPr fontId="2" type="noConversion"/>
  </si>
  <si>
    <t>031-839-2736</t>
    <phoneticPr fontId="2" type="noConversion"/>
  </si>
  <si>
    <t>성주군</t>
    <phoneticPr fontId="2" type="noConversion"/>
  </si>
  <si>
    <t>2022성주생명문화축제
&amp;제7회성주참외페스티벌</t>
    <phoneticPr fontId="2" type="noConversion"/>
  </si>
  <si>
    <t>성밖숲외
5개장소</t>
    <phoneticPr fontId="2" type="noConversion"/>
  </si>
  <si>
    <t>성주군축제
추진위원회</t>
    <phoneticPr fontId="2" type="noConversion"/>
  </si>
  <si>
    <t>비영리
법인</t>
    <phoneticPr fontId="2" type="noConversion"/>
  </si>
  <si>
    <t>성주군축제추진위원회 설치 및 운영조례</t>
    <phoneticPr fontId="2" type="noConversion"/>
  </si>
  <si>
    <t>이은성</t>
    <phoneticPr fontId="2" type="noConversion"/>
  </si>
  <si>
    <t>054-930-6982</t>
    <phoneticPr fontId="2" type="noConversion"/>
  </si>
  <si>
    <t>2022 성주가야산황금
들녘메뚜기잡이체험축제</t>
    <phoneticPr fontId="2" type="noConversion"/>
  </si>
  <si>
    <t>수륜면
수성리
(어울림마당)</t>
    <phoneticPr fontId="2" type="noConversion"/>
  </si>
  <si>
    <t>황금들녘
메뚜기잡이
체험축제
추진위원회</t>
    <phoneticPr fontId="2" type="noConversion"/>
  </si>
  <si>
    <t>성주 성밖숲 희망길 와숲</t>
    <phoneticPr fontId="2" type="noConversion"/>
  </si>
  <si>
    <t>성밖숲</t>
    <phoneticPr fontId="2" type="noConversion"/>
  </si>
  <si>
    <t>송윤경</t>
    <phoneticPr fontId="2" type="noConversion"/>
  </si>
  <si>
    <t>054-930-6983</t>
    <phoneticPr fontId="2" type="noConversion"/>
  </si>
  <si>
    <t>동구</t>
    <phoneticPr fontId="2" type="noConversion"/>
  </si>
  <si>
    <t>제2회 대동천 가든 페스티벌</t>
    <phoneticPr fontId="2" type="noConversion"/>
  </si>
  <si>
    <t>ㅇ 문화예술
ㅇ 생태자연</t>
    <phoneticPr fontId="2" type="noConversion"/>
  </si>
  <si>
    <t>22.4월중
22.9월중</t>
    <phoneticPr fontId="2" type="noConversion"/>
  </si>
  <si>
    <t>동구 대동천변</t>
    <phoneticPr fontId="2" type="noConversion"/>
  </si>
  <si>
    <t>24,000명</t>
    <phoneticPr fontId="2" type="noConversion"/>
  </si>
  <si>
    <t>권준복</t>
    <phoneticPr fontId="2" type="noConversion"/>
  </si>
  <si>
    <t>042-251-6674</t>
    <phoneticPr fontId="2" type="noConversion"/>
  </si>
  <si>
    <t>제2회 대전부르스축제</t>
    <phoneticPr fontId="2" type="noConversion"/>
  </si>
  <si>
    <t>ㅇ 문화예술
ㅇ 기타(주민화합등)</t>
    <phoneticPr fontId="2" type="noConversion"/>
  </si>
  <si>
    <t>22.10.월중</t>
    <phoneticPr fontId="2" type="noConversion"/>
  </si>
  <si>
    <t>동구 중부건어물특화거리, 한의약인쇄거리  및
중앙시장일원</t>
    <phoneticPr fontId="2" type="noConversion"/>
  </si>
  <si>
    <t>40,000명</t>
    <phoneticPr fontId="2" type="noConversion"/>
  </si>
  <si>
    <t>강경희</t>
    <phoneticPr fontId="2" type="noConversion"/>
  </si>
  <si>
    <t>042-251-6684</t>
    <phoneticPr fontId="2" type="noConversion"/>
  </si>
  <si>
    <t>제4회 대청호벚꽃축제</t>
    <phoneticPr fontId="2" type="noConversion"/>
  </si>
  <si>
    <t>ㅇ 문화예술
ㅇ 자연생태
ㅇ 기타(주민화합등)</t>
    <phoneticPr fontId="2" type="noConversion"/>
  </si>
  <si>
    <t>22.4월중</t>
    <phoneticPr fontId="2" type="noConversion"/>
  </si>
  <si>
    <t>동구 오동선 벚꽃길 일원
(신상동282번지 일원)</t>
    <phoneticPr fontId="2" type="noConversion"/>
  </si>
  <si>
    <t>온택트</t>
    <phoneticPr fontId="2" type="noConversion"/>
  </si>
  <si>
    <t>심용숙</t>
    <phoneticPr fontId="2" type="noConversion"/>
  </si>
  <si>
    <t>042-251-6682</t>
    <phoneticPr fontId="2" type="noConversion"/>
  </si>
  <si>
    <t>중구</t>
    <phoneticPr fontId="2" type="noConversion"/>
  </si>
  <si>
    <t>제13회 대전효문화뿌리축제</t>
    <phoneticPr fontId="2" type="noConversion"/>
  </si>
  <si>
    <t>9~10월 중
(3일)</t>
    <phoneticPr fontId="2" type="noConversion"/>
  </si>
  <si>
    <t>뿌리공원 및 원도심 일원</t>
    <phoneticPr fontId="2" type="noConversion"/>
  </si>
  <si>
    <t>2021(비대면): TV시청자수 2,123천명/유튜브조회수 102천명
2020(미개최)
2019(대면): 359천명</t>
    <phoneticPr fontId="2" type="noConversion"/>
  </si>
  <si>
    <t>2021(비대면): 내국인에 일괄작성
2020(미개최)
2019(대면): 1천명</t>
    <phoneticPr fontId="2" type="noConversion"/>
  </si>
  <si>
    <t>대전효문화뿌리축제추진위원회</t>
    <phoneticPr fontId="2" type="noConversion"/>
  </si>
  <si>
    <t>대전광역시 중구 축제위원회 운영 조례</t>
    <phoneticPr fontId="2" type="noConversion"/>
  </si>
  <si>
    <t>이유선</t>
    <phoneticPr fontId="2" type="noConversion"/>
  </si>
  <si>
    <t>042-606-6293</t>
    <phoneticPr fontId="2" type="noConversion"/>
  </si>
  <si>
    <t>서구</t>
    <phoneticPr fontId="2" type="noConversion"/>
  </si>
  <si>
    <t>2022 대전 서구힐링
아트페스티벌</t>
    <phoneticPr fontId="2" type="noConversion"/>
  </si>
  <si>
    <t>ㅇ 문화예술</t>
    <phoneticPr fontId="2" type="noConversion"/>
  </si>
  <si>
    <t>5.27.~5.29.
*코로나19
상황에 따라 변경 가능</t>
    <phoneticPr fontId="2" type="noConversion"/>
  </si>
  <si>
    <t>샘머리
및
보라매공원 일원</t>
    <phoneticPr fontId="2" type="noConversion"/>
  </si>
  <si>
    <t>ㅇ혼합형</t>
    <phoneticPr fontId="2" type="noConversion"/>
  </si>
  <si>
    <t>2016년</t>
    <phoneticPr fontId="2" type="noConversion"/>
  </si>
  <si>
    <t>안태현</t>
    <phoneticPr fontId="2" type="noConversion"/>
  </si>
  <si>
    <t>288-2742</t>
    <phoneticPr fontId="2" type="noConversion"/>
  </si>
  <si>
    <t>유성구</t>
    <phoneticPr fontId="2" type="noConversion"/>
  </si>
  <si>
    <t>제27회 유성온천문화축제</t>
    <phoneticPr fontId="2" type="noConversion"/>
  </si>
  <si>
    <t>온천로 일원</t>
    <phoneticPr fontId="2" type="noConversion"/>
  </si>
  <si>
    <t>1989년</t>
    <phoneticPr fontId="2" type="noConversion"/>
  </si>
  <si>
    <t>채민석</t>
    <phoneticPr fontId="2" type="noConversion"/>
  </si>
  <si>
    <t>042-611-2080</t>
    <phoneticPr fontId="2" type="noConversion"/>
  </si>
  <si>
    <t>대덕구</t>
    <phoneticPr fontId="2" type="noConversion"/>
  </si>
  <si>
    <t>2022 대청호
대덕뮤직페스티벌</t>
    <phoneticPr fontId="2" type="noConversion"/>
  </si>
  <si>
    <t xml:space="preserve">ㅇ 문화예술
</t>
    <phoneticPr fontId="2" type="noConversion"/>
  </si>
  <si>
    <t>4.1.~4.10.
(예정)</t>
    <phoneticPr fontId="2" type="noConversion"/>
  </si>
  <si>
    <t>대청공원
 및
 신탄진 인근</t>
    <phoneticPr fontId="2" type="noConversion"/>
  </si>
  <si>
    <t xml:space="preserve">2011년도 </t>
    <phoneticPr fontId="2" type="noConversion"/>
  </si>
  <si>
    <t>비대면
온라인 
10만5천</t>
    <phoneticPr fontId="2" type="noConversion"/>
  </si>
  <si>
    <t>최은옥</t>
    <phoneticPr fontId="2" type="noConversion"/>
  </si>
  <si>
    <t>042-608-6732</t>
    <phoneticPr fontId="2" type="noConversion"/>
  </si>
  <si>
    <t>대청호물빛영화제
(구 대청호가 그린 영화제)</t>
    <phoneticPr fontId="2" type="noConversion"/>
  </si>
  <si>
    <t>ㅇ 문화예술</t>
  </si>
  <si>
    <t>연중 
시상식은
2022년 
10월 중</t>
    <phoneticPr fontId="2" type="noConversion"/>
  </si>
  <si>
    <t>관내
(시상식 : 대청공원)</t>
    <phoneticPr fontId="2" type="noConversion"/>
  </si>
  <si>
    <t>ㅇ혼합형</t>
  </si>
  <si>
    <t xml:space="preserve">2021년도 </t>
    <phoneticPr fontId="2" type="noConversion"/>
  </si>
  <si>
    <t>대덕문화
관광재단</t>
    <phoneticPr fontId="2" type="noConversion"/>
  </si>
  <si>
    <t>재단</t>
    <phoneticPr fontId="2" type="noConversion"/>
  </si>
  <si>
    <t xml:space="preserve">대전광역시 대덕구 
대덕문화관광재단 설립 및 
운영에 관한 조례 </t>
    <phoneticPr fontId="2" type="noConversion"/>
  </si>
  <si>
    <t>제25회 동춘당문화제</t>
    <phoneticPr fontId="2" type="noConversion"/>
  </si>
  <si>
    <t>4.中(예정)</t>
    <phoneticPr fontId="2" type="noConversion"/>
  </si>
  <si>
    <t>동춘당역사공원일대</t>
    <phoneticPr fontId="2" type="noConversion"/>
  </si>
  <si>
    <t>1996년도</t>
    <phoneticPr fontId="2" type="noConversion"/>
  </si>
  <si>
    <t>정다운</t>
    <phoneticPr fontId="2" type="noConversion"/>
  </si>
  <si>
    <t>042-608-6573</t>
    <phoneticPr fontId="2" type="noConversion"/>
  </si>
  <si>
    <t>2022년 김호연재 여성문화축제</t>
    <phoneticPr fontId="2" type="noConversion"/>
  </si>
  <si>
    <t>ㅇ 전통문화</t>
    <phoneticPr fontId="2" type="noConversion"/>
  </si>
  <si>
    <t>2022.9월중</t>
    <phoneticPr fontId="2" type="noConversion"/>
  </si>
  <si>
    <t>소대헌호연재고택 및 동춘당공원</t>
    <phoneticPr fontId="2" type="noConversion"/>
  </si>
  <si>
    <t>2010년도</t>
    <phoneticPr fontId="2" type="noConversion"/>
  </si>
  <si>
    <t>비대면
온라인 
500명</t>
    <phoneticPr fontId="2" type="noConversion"/>
  </si>
  <si>
    <t>김현진</t>
    <phoneticPr fontId="2" type="noConversion"/>
  </si>
  <si>
    <t>042-608-6574</t>
    <phoneticPr fontId="2" type="noConversion"/>
  </si>
  <si>
    <t>2022 대전사이언스페스티벌</t>
    <phoneticPr fontId="2" type="noConversion"/>
  </si>
  <si>
    <t>기타(과학전시체험 등)</t>
    <phoneticPr fontId="2" type="noConversion"/>
  </si>
  <si>
    <t>10.21.~10.25.
개최시기 및 일정은 변동될 수 있음</t>
    <phoneticPr fontId="2" type="noConversion"/>
  </si>
  <si>
    <t>대전컨벤션센터 등</t>
    <phoneticPr fontId="2" type="noConversion"/>
  </si>
  <si>
    <t>2000년</t>
    <phoneticPr fontId="2" type="noConversion"/>
  </si>
  <si>
    <t>62,262명</t>
    <phoneticPr fontId="2" type="noConversion"/>
  </si>
  <si>
    <t>이승희</t>
    <phoneticPr fontId="2" type="noConversion"/>
  </si>
  <si>
    <t>042-270-0311</t>
    <phoneticPr fontId="2" type="noConversion"/>
  </si>
  <si>
    <t>농산물 대축제(우리농수산물 소비촉진 캠페인)</t>
    <phoneticPr fontId="2" type="noConversion"/>
  </si>
  <si>
    <t>09.30.~10.02.</t>
    <phoneticPr fontId="2" type="noConversion"/>
  </si>
  <si>
    <t>대전월드컵경기장 일원</t>
    <phoneticPr fontId="2" type="noConversion"/>
  </si>
  <si>
    <t>20,000명</t>
    <phoneticPr fontId="2" type="noConversion"/>
  </si>
  <si>
    <t>0명</t>
    <phoneticPr fontId="2" type="noConversion"/>
  </si>
  <si>
    <t>㈜충청투데이</t>
    <phoneticPr fontId="2" type="noConversion"/>
  </si>
  <si>
    <t>김상엽</t>
    <phoneticPr fontId="2" type="noConversion"/>
  </si>
  <si>
    <t>042-270-3802</t>
    <phoneticPr fontId="2" type="noConversion"/>
  </si>
  <si>
    <t>2022 대전 토토즐 페스티벌</t>
    <phoneticPr fontId="2" type="noConversion"/>
  </si>
  <si>
    <t>10월 중
(예정)</t>
    <phoneticPr fontId="2" type="noConversion"/>
  </si>
  <si>
    <t>원도심 일원(원동, 대흥동, 은행동 등)</t>
    <phoneticPr fontId="2" type="noConversion"/>
  </si>
  <si>
    <t>20,000명
(대면, 비대면 포함)</t>
    <phoneticPr fontId="2" type="noConversion"/>
  </si>
  <si>
    <t>이웅렬</t>
    <phoneticPr fontId="2" type="noConversion"/>
  </si>
  <si>
    <t>042-270-3979</t>
    <phoneticPr fontId="2" type="noConversion"/>
  </si>
  <si>
    <t>대전마케팅공사</t>
    <phoneticPr fontId="2" type="noConversion"/>
  </si>
  <si>
    <t>2022 대전국제와인페스티벌</t>
    <phoneticPr fontId="2" type="noConversion"/>
  </si>
  <si>
    <t>10.10~16</t>
    <phoneticPr fontId="2" type="noConversion"/>
  </si>
  <si>
    <t>DCC</t>
    <phoneticPr fontId="2" type="noConversion"/>
  </si>
  <si>
    <t>대전관광공사</t>
    <phoneticPr fontId="2" type="noConversion"/>
  </si>
  <si>
    <t>공사</t>
    <phoneticPr fontId="2" type="noConversion"/>
  </si>
  <si>
    <t>지방공기업법 제49조</t>
    <phoneticPr fontId="2" type="noConversion"/>
  </si>
  <si>
    <t>박상혁</t>
    <phoneticPr fontId="2" type="noConversion"/>
  </si>
  <si>
    <t>042-250-1313</t>
    <phoneticPr fontId="2" type="noConversion"/>
  </si>
  <si>
    <t>자운대민군화합페스티벌</t>
    <phoneticPr fontId="2" type="noConversion"/>
  </si>
  <si>
    <t>4월예정</t>
    <phoneticPr fontId="2" type="noConversion"/>
  </si>
  <si>
    <t>자운대내 군부대일원</t>
    <phoneticPr fontId="2" type="noConversion"/>
  </si>
  <si>
    <t>행사취소</t>
    <phoneticPr fontId="2" type="noConversion"/>
  </si>
  <si>
    <t>이기숙</t>
    <phoneticPr fontId="2" type="noConversion"/>
  </si>
  <si>
    <t>042-250-1272</t>
    <phoneticPr fontId="2" type="noConversion"/>
  </si>
  <si>
    <t>반려동물 문화축제</t>
    <phoneticPr fontId="2" type="noConversion"/>
  </si>
  <si>
    <t>9월예정</t>
    <phoneticPr fontId="2" type="noConversion"/>
  </si>
  <si>
    <t>서구보라매공원</t>
    <phoneticPr fontId="2" type="noConversion"/>
  </si>
  <si>
    <t>대전</t>
  </si>
  <si>
    <t>민간추진(대덕구)</t>
    <phoneticPr fontId="2" type="noConversion"/>
  </si>
  <si>
    <t>계족산맨발축제</t>
  </si>
  <si>
    <t>생태자연+문화예술</t>
  </si>
  <si>
    <t>계족산</t>
  </si>
  <si>
    <t>맨발축제 운영사무국</t>
  </si>
  <si>
    <t>민간기업 자체 추진</t>
  </si>
  <si>
    <t>현지훈</t>
  </si>
  <si>
    <t>042-530-1839</t>
  </si>
  <si>
    <t>제13회 유성국화전시회</t>
    <phoneticPr fontId="2" type="noConversion"/>
  </si>
  <si>
    <t>10.8.~10.30.</t>
    <phoneticPr fontId="2" type="noConversion"/>
  </si>
  <si>
    <t>유림공원 등</t>
    <phoneticPr fontId="2" type="noConversion"/>
  </si>
  <si>
    <t>대면 및 온라인</t>
    <phoneticPr fontId="2" type="noConversion"/>
  </si>
  <si>
    <t>350,000명</t>
    <phoneticPr fontId="2" type="noConversion"/>
  </si>
  <si>
    <t>김종현</t>
    <phoneticPr fontId="2" type="noConversion"/>
  </si>
  <si>
    <t>611-2678</t>
    <phoneticPr fontId="2" type="noConversion"/>
  </si>
  <si>
    <t>본청</t>
    <phoneticPr fontId="2" type="noConversion"/>
  </si>
  <si>
    <t>청주시</t>
    <phoneticPr fontId="2" type="noConversion"/>
  </si>
  <si>
    <t>청원생명축제</t>
    <phoneticPr fontId="2" type="noConversion"/>
  </si>
  <si>
    <t>9~10월 중 10일</t>
    <phoneticPr fontId="2" type="noConversion"/>
  </si>
  <si>
    <t>오창미래지공원</t>
    <phoneticPr fontId="2" type="noConversion"/>
  </si>
  <si>
    <t>청원생명축제추진위원회</t>
    <phoneticPr fontId="2" type="noConversion"/>
  </si>
  <si>
    <t>청주시 청원생명축제 추진위원회 설치 및 운영 조례</t>
    <phoneticPr fontId="2" type="noConversion"/>
  </si>
  <si>
    <t>이동암</t>
    <phoneticPr fontId="2" type="noConversion"/>
  </si>
  <si>
    <t>043-201-0252</t>
    <phoneticPr fontId="2" type="noConversion"/>
  </si>
  <si>
    <t>세종대왕과 초정약수축제</t>
    <phoneticPr fontId="2" type="noConversion"/>
  </si>
  <si>
    <t>역사문화</t>
    <phoneticPr fontId="2" type="noConversion"/>
  </si>
  <si>
    <t>초정문화공원, 초정행궁 일원</t>
    <phoneticPr fontId="2" type="noConversion"/>
  </si>
  <si>
    <t>현은지</t>
    <phoneticPr fontId="2" type="noConversion"/>
  </si>
  <si>
    <t>043-201-2042</t>
    <phoneticPr fontId="2" type="noConversion"/>
  </si>
  <si>
    <t>청주읍성축제</t>
    <phoneticPr fontId="2" type="noConversion"/>
  </si>
  <si>
    <t>9월 미정</t>
    <phoneticPr fontId="2" type="noConversion"/>
  </si>
  <si>
    <t>원도심 일원</t>
    <phoneticPr fontId="2" type="noConversion"/>
  </si>
  <si>
    <t>청남대재즈토닉페스티벌</t>
    <phoneticPr fontId="2" type="noConversion"/>
  </si>
  <si>
    <t>5월 미정</t>
    <phoneticPr fontId="2" type="noConversion"/>
  </si>
  <si>
    <t>청남대</t>
    <phoneticPr fontId="2" type="noConversion"/>
  </si>
  <si>
    <t>김찬중</t>
    <phoneticPr fontId="2" type="noConversion"/>
  </si>
  <si>
    <t>043-220-6413</t>
    <phoneticPr fontId="2" type="noConversion"/>
  </si>
  <si>
    <t>충주시</t>
    <phoneticPr fontId="2" type="noConversion"/>
  </si>
  <si>
    <t>2022 충주호수축제</t>
    <phoneticPr fontId="2" type="noConversion"/>
  </si>
  <si>
    <t>7.27.~7.31.</t>
    <phoneticPr fontId="2" type="noConversion"/>
  </si>
  <si>
    <t>중앙탑면</t>
    <phoneticPr fontId="2" type="noConversion"/>
  </si>
  <si>
    <t>충주중원문화재단</t>
    <phoneticPr fontId="2" type="noConversion"/>
  </si>
  <si>
    <t>충주시 중원문화재단 설립 및 운영에 관한 조례</t>
    <phoneticPr fontId="2" type="noConversion"/>
  </si>
  <si>
    <t>박동일</t>
    <phoneticPr fontId="2" type="noConversion"/>
  </si>
  <si>
    <t>043-850-6721</t>
    <phoneticPr fontId="2" type="noConversion"/>
  </si>
  <si>
    <t>제50회 우륵문화제</t>
    <phoneticPr fontId="2" type="noConversion"/>
  </si>
  <si>
    <t>1.1.~12.31.</t>
    <phoneticPr fontId="2" type="noConversion"/>
  </si>
  <si>
    <t>(사)충주예총</t>
    <phoneticPr fontId="2" type="noConversion"/>
  </si>
  <si>
    <t>김중란</t>
    <phoneticPr fontId="2" type="noConversion"/>
  </si>
  <si>
    <t>043-850-5934</t>
    <phoneticPr fontId="2" type="noConversion"/>
  </si>
  <si>
    <t>제천시</t>
    <phoneticPr fontId="2" type="noConversion"/>
  </si>
  <si>
    <t>제5회 겨울왕국 제천페스티벌</t>
    <phoneticPr fontId="2" type="noConversion"/>
  </si>
  <si>
    <t>기타(계절축제)</t>
    <phoneticPr fontId="2" type="noConversion"/>
  </si>
  <si>
    <t>22.12.~23.1.(약 40일 예정)</t>
    <phoneticPr fontId="2" type="noConversion"/>
  </si>
  <si>
    <t>제천시내/의림지 일원</t>
    <phoneticPr fontId="2" type="noConversion"/>
  </si>
  <si>
    <t>현장개최</t>
    <phoneticPr fontId="14" type="noConversion"/>
  </si>
  <si>
    <t>축제취소</t>
    <phoneticPr fontId="2" type="noConversion"/>
  </si>
  <si>
    <t>제천문화재단</t>
    <phoneticPr fontId="2" type="noConversion"/>
  </si>
  <si>
    <t>제천문화재단 설립 및 운영에 관한 조례(2018년)</t>
    <phoneticPr fontId="2" type="noConversion"/>
  </si>
  <si>
    <t>자체사업</t>
    <phoneticPr fontId="2" type="noConversion"/>
  </si>
  <si>
    <t>이경세, 이태호</t>
    <phoneticPr fontId="2" type="noConversion"/>
  </si>
  <si>
    <t>043-641-5512, 5513</t>
    <phoneticPr fontId="2" type="noConversion"/>
  </si>
  <si>
    <t>제26회 청풍호 벚꽃축제</t>
    <phoneticPr fontId="2" type="noConversion"/>
  </si>
  <si>
    <t>청풍일원</t>
    <phoneticPr fontId="2" type="noConversion"/>
  </si>
  <si>
    <t>현장개최</t>
    <phoneticPr fontId="2" type="noConversion"/>
  </si>
  <si>
    <t>이경세</t>
    <phoneticPr fontId="2" type="noConversion"/>
  </si>
  <si>
    <t>043-641-5512</t>
    <phoneticPr fontId="2" type="noConversion"/>
  </si>
  <si>
    <t>보은군</t>
    <phoneticPr fontId="2" type="noConversion"/>
  </si>
  <si>
    <t>2022 보은대추축제</t>
    <phoneticPr fontId="2" type="noConversion"/>
  </si>
  <si>
    <t>10.14.~.10.31.</t>
    <phoneticPr fontId="2" type="noConversion"/>
  </si>
  <si>
    <t>뱃들공원</t>
    <phoneticPr fontId="2" type="noConversion"/>
  </si>
  <si>
    <t>914,318(2019년)</t>
    <phoneticPr fontId="2" type="noConversion"/>
  </si>
  <si>
    <t>보은군축제추진위원회</t>
    <phoneticPr fontId="2" type="noConversion"/>
  </si>
  <si>
    <t>보은군 축제 지원 및 운영조례(2015년)</t>
    <phoneticPr fontId="2" type="noConversion"/>
  </si>
  <si>
    <t>최정경</t>
    <phoneticPr fontId="2" type="noConversion"/>
  </si>
  <si>
    <t>043-540-3393</t>
    <phoneticPr fontId="2" type="noConversion"/>
  </si>
  <si>
    <t>속리산 신화여행 축제</t>
    <phoneticPr fontId="2" type="noConversion"/>
  </si>
  <si>
    <t>7말~8월초(3일간)</t>
    <phoneticPr fontId="2" type="noConversion"/>
  </si>
  <si>
    <t>속리산 잔디공원, 법주사</t>
    <phoneticPr fontId="2" type="noConversion"/>
  </si>
  <si>
    <t>정경아</t>
    <phoneticPr fontId="2" type="noConversion"/>
  </si>
  <si>
    <t>043-540-3372</t>
    <phoneticPr fontId="2" type="noConversion"/>
  </si>
  <si>
    <t>옥천군</t>
    <phoneticPr fontId="2" type="noConversion"/>
  </si>
  <si>
    <t>제14회 향수옥천 포도복숭아축제</t>
    <phoneticPr fontId="2" type="noConversion"/>
  </si>
  <si>
    <t>7월 중 3일간</t>
    <phoneticPr fontId="2" type="noConversion"/>
  </si>
  <si>
    <t>옥천공설운동장 일원</t>
    <phoneticPr fontId="2" type="noConversion"/>
  </si>
  <si>
    <t>이주화</t>
    <phoneticPr fontId="2" type="noConversion"/>
  </si>
  <si>
    <t>043-730-3262</t>
    <phoneticPr fontId="2" type="noConversion"/>
  </si>
  <si>
    <t>제35회 지용제</t>
    <phoneticPr fontId="2" type="noConversion"/>
  </si>
  <si>
    <t>5.12~5.15.</t>
    <phoneticPr fontId="2" type="noConversion"/>
  </si>
  <si>
    <t>구읍 일원</t>
    <phoneticPr fontId="2" type="noConversion"/>
  </si>
  <si>
    <t>옥천문화원</t>
    <phoneticPr fontId="2" type="noConversion"/>
  </si>
  <si>
    <t>이기운</t>
    <phoneticPr fontId="2" type="noConversion"/>
  </si>
  <si>
    <t>043-730-3403</t>
    <phoneticPr fontId="2" type="noConversion"/>
  </si>
  <si>
    <t>영동군</t>
    <phoneticPr fontId="2" type="noConversion"/>
  </si>
  <si>
    <t>제19회 영동곶감축제</t>
    <phoneticPr fontId="2" type="noConversion"/>
  </si>
  <si>
    <t>1.5.~1.25.</t>
    <phoneticPr fontId="2" type="noConversion"/>
  </si>
  <si>
    <t>영동축제관광재단</t>
    <phoneticPr fontId="2" type="noConversion"/>
  </si>
  <si>
    <t>영동군 조례 제2575호 영동군 재단법인 영동축제관광재단 설립 및 지원 조례(2016년)</t>
    <phoneticPr fontId="2" type="noConversion"/>
  </si>
  <si>
    <t>김영환</t>
    <phoneticPr fontId="2" type="noConversion"/>
  </si>
  <si>
    <t>043-740-3213</t>
    <phoneticPr fontId="2" type="noConversion"/>
  </si>
  <si>
    <t>제17회 영동포도축제</t>
    <phoneticPr fontId="2" type="noConversion"/>
  </si>
  <si>
    <t>8.25.~8.28.</t>
    <phoneticPr fontId="2" type="noConversion"/>
  </si>
  <si>
    <t>영동레인보우힐링관광지</t>
    <phoneticPr fontId="2" type="noConversion"/>
  </si>
  <si>
    <t>제53회 영동난계국악축제</t>
    <phoneticPr fontId="2" type="noConversion"/>
  </si>
  <si>
    <t>10.7.~10.10.</t>
    <phoneticPr fontId="2" type="noConversion"/>
  </si>
  <si>
    <t>한국문화예술위원회</t>
    <phoneticPr fontId="2" type="noConversion"/>
  </si>
  <si>
    <t>제11회 대한민국와인축제</t>
    <phoneticPr fontId="2" type="noConversion"/>
  </si>
  <si>
    <t>증평군</t>
    <phoneticPr fontId="2" type="noConversion"/>
  </si>
  <si>
    <t>증평들노래축제</t>
    <phoneticPr fontId="2" type="noConversion"/>
  </si>
  <si>
    <t>5~6월</t>
    <phoneticPr fontId="2" type="noConversion"/>
  </si>
  <si>
    <t>증평민속체험박물관 일원</t>
    <phoneticPr fontId="2" type="noConversion"/>
  </si>
  <si>
    <t>증평장뜰두레농요보존회</t>
    <phoneticPr fontId="2" type="noConversion"/>
  </si>
  <si>
    <t>비영리문화예술단체</t>
    <phoneticPr fontId="2" type="noConversion"/>
  </si>
  <si>
    <t>증평군 문화예술 진흥 조례</t>
    <phoneticPr fontId="2" type="noConversion"/>
  </si>
  <si>
    <t>도태완</t>
    <phoneticPr fontId="2" type="noConversion"/>
  </si>
  <si>
    <t>043-835-4143</t>
    <phoneticPr fontId="2" type="noConversion"/>
  </si>
  <si>
    <t>증평인삼골축제</t>
    <phoneticPr fontId="2" type="noConversion"/>
  </si>
  <si>
    <t>특산물(기타)</t>
    <phoneticPr fontId="2" type="noConversion"/>
  </si>
  <si>
    <t>증평보강천체육공원 일원</t>
    <phoneticPr fontId="2" type="noConversion"/>
  </si>
  <si>
    <t>증평문화원</t>
    <phoneticPr fontId="2" type="noConversion"/>
  </si>
  <si>
    <t>김경애</t>
    <phoneticPr fontId="2" type="noConversion"/>
  </si>
  <si>
    <t>043-835-4142</t>
    <phoneticPr fontId="2" type="noConversion"/>
  </si>
  <si>
    <t>진천군</t>
    <phoneticPr fontId="2" type="noConversion"/>
  </si>
  <si>
    <t>제22회 생거진천 농다리축제</t>
    <phoneticPr fontId="2" type="noConversion"/>
  </si>
  <si>
    <t>농다리 일원</t>
    <phoneticPr fontId="2" type="noConversion"/>
  </si>
  <si>
    <t>진천문화원 / 생거진천농다리축제추진위원회</t>
    <phoneticPr fontId="2" type="noConversion"/>
  </si>
  <si>
    <t>지방문화원진흥법 / -</t>
    <phoneticPr fontId="2" type="noConversion"/>
  </si>
  <si>
    <t>조희진</t>
    <phoneticPr fontId="2" type="noConversion"/>
  </si>
  <si>
    <t>043-539-3603</t>
    <phoneticPr fontId="2" type="noConversion"/>
  </si>
  <si>
    <t>제43회 생거진천 문화축제</t>
    <phoneticPr fontId="2" type="noConversion"/>
  </si>
  <si>
    <t>백곡천 일원</t>
    <phoneticPr fontId="2" type="noConversion"/>
  </si>
  <si>
    <t>진천문화원 / 생거진천문화축제추진위원회</t>
    <phoneticPr fontId="2" type="noConversion"/>
  </si>
  <si>
    <t>괴산군</t>
    <phoneticPr fontId="2" type="noConversion"/>
  </si>
  <si>
    <t>2022 괴산대학찰옥수수축제</t>
    <phoneticPr fontId="2" type="noConversion"/>
  </si>
  <si>
    <t>7월 중순(3일)</t>
    <phoneticPr fontId="2" type="noConversion"/>
  </si>
  <si>
    <t>괴산유기농엑스포광장</t>
    <phoneticPr fontId="2" type="noConversion"/>
  </si>
  <si>
    <t>괴산축제위원회</t>
    <phoneticPr fontId="2" type="noConversion"/>
  </si>
  <si>
    <t>괴산축제위원회 운영에 관한 조례</t>
    <phoneticPr fontId="2" type="noConversion"/>
  </si>
  <si>
    <t xml:space="preserve">정윤진 </t>
    <phoneticPr fontId="2" type="noConversion"/>
  </si>
  <si>
    <t>043-830-3463</t>
    <phoneticPr fontId="2" type="noConversion"/>
  </si>
  <si>
    <t>2022 괴산고추축제</t>
    <phoneticPr fontId="2" type="noConversion"/>
  </si>
  <si>
    <t>8월 말일(4일)</t>
    <phoneticPr fontId="2" type="noConversion"/>
  </si>
  <si>
    <t>민헤만</t>
    <phoneticPr fontId="2" type="noConversion"/>
  </si>
  <si>
    <t>043-830-3462</t>
    <phoneticPr fontId="2" type="noConversion"/>
  </si>
  <si>
    <t>2022 괴산김장축제</t>
    <phoneticPr fontId="2" type="noConversion"/>
  </si>
  <si>
    <t>11월 초(3일)</t>
    <phoneticPr fontId="2" type="noConversion"/>
  </si>
  <si>
    <t>최예진</t>
    <phoneticPr fontId="2" type="noConversion"/>
  </si>
  <si>
    <t>043-830-3464</t>
    <phoneticPr fontId="2" type="noConversion"/>
  </si>
  <si>
    <t>음성군</t>
    <phoneticPr fontId="2" type="noConversion"/>
  </si>
  <si>
    <t>제23회 음성품바축제</t>
    <phoneticPr fontId="2" type="noConversion"/>
  </si>
  <si>
    <t>9.21.~9.25.</t>
    <phoneticPr fontId="2" type="noConversion"/>
  </si>
  <si>
    <t>설성공원</t>
    <phoneticPr fontId="2" type="noConversion"/>
  </si>
  <si>
    <t>400,000(유튜브조회수)</t>
    <phoneticPr fontId="2" type="noConversion"/>
  </si>
  <si>
    <t>음성예총</t>
    <phoneticPr fontId="2" type="noConversion"/>
  </si>
  <si>
    <t>음성군 축제 추진위원회 설치 및 운영조례</t>
    <phoneticPr fontId="2" type="noConversion"/>
  </si>
  <si>
    <t>황정연</t>
    <phoneticPr fontId="2" type="noConversion"/>
  </si>
  <si>
    <t>043-871-3402</t>
    <phoneticPr fontId="2" type="noConversion"/>
  </si>
  <si>
    <t>제41회 설성문화제</t>
    <phoneticPr fontId="2" type="noConversion"/>
  </si>
  <si>
    <t>전년미개최</t>
    <phoneticPr fontId="2" type="noConversion"/>
  </si>
  <si>
    <t>음성문화원</t>
    <phoneticPr fontId="2" type="noConversion"/>
  </si>
  <si>
    <t>2022 음성명작페스티벌</t>
    <phoneticPr fontId="2" type="noConversion"/>
  </si>
  <si>
    <t>9월말~10월초(미정)</t>
    <phoneticPr fontId="2" type="noConversion"/>
  </si>
  <si>
    <t>금빛근린공원(금왕읍)</t>
    <phoneticPr fontId="2" type="noConversion"/>
  </si>
  <si>
    <t>신규</t>
    <phoneticPr fontId="2" type="noConversion"/>
  </si>
  <si>
    <t>실무위윈회</t>
    <phoneticPr fontId="2" type="noConversion"/>
  </si>
  <si>
    <t>음성군 축제 추진위원회 설치 및 운영 조례</t>
    <phoneticPr fontId="2" type="noConversion"/>
  </si>
  <si>
    <t>최용환</t>
    <phoneticPr fontId="2" type="noConversion"/>
  </si>
  <si>
    <t>043-871-3692</t>
    <phoneticPr fontId="2" type="noConversion"/>
  </si>
  <si>
    <t>단양군</t>
    <phoneticPr fontId="2" type="noConversion"/>
  </si>
  <si>
    <t>제38회 소백산철쭉제</t>
    <phoneticPr fontId="2" type="noConversion"/>
  </si>
  <si>
    <t>상상의거리</t>
    <phoneticPr fontId="2" type="noConversion"/>
  </si>
  <si>
    <t>단양문화원</t>
    <phoneticPr fontId="2" type="noConversion"/>
  </si>
  <si>
    <t>단양문화원 육성진흥에 관한 조례</t>
    <phoneticPr fontId="2" type="noConversion"/>
  </si>
  <si>
    <t>제24회 온달문화축제</t>
    <phoneticPr fontId="2" type="noConversion"/>
  </si>
  <si>
    <t>온달관광지</t>
    <phoneticPr fontId="2" type="noConversion"/>
  </si>
  <si>
    <t>제5회 쌍둥이힐링페스티벌</t>
    <phoneticPr fontId="2" type="noConversion"/>
  </si>
  <si>
    <t>광주</t>
  </si>
  <si>
    <t>2022 광주프린지페스티벌</t>
    <phoneticPr fontId="2" type="noConversion"/>
  </si>
  <si>
    <t>5.~10.</t>
    <phoneticPr fontId="2" type="noConversion"/>
  </si>
  <si>
    <t>5.18. 민주광장 등 광주 일원</t>
    <phoneticPr fontId="2" type="noConversion"/>
  </si>
  <si>
    <t>115,183명</t>
    <phoneticPr fontId="2" type="noConversion"/>
  </si>
  <si>
    <t>광주문화재단</t>
    <phoneticPr fontId="2" type="noConversion"/>
  </si>
  <si>
    <t>광주광역시 광주문화재단 설립 및 운영 조례</t>
    <phoneticPr fontId="2" type="noConversion"/>
  </si>
  <si>
    <t>강우성</t>
    <phoneticPr fontId="2" type="noConversion"/>
  </si>
  <si>
    <t>062-613-3182</t>
    <phoneticPr fontId="2" type="noConversion"/>
  </si>
  <si>
    <t>2022 아트피크닉</t>
    <phoneticPr fontId="2" type="noConversion"/>
  </si>
  <si>
    <t>4.~10.</t>
    <phoneticPr fontId="2" type="noConversion"/>
  </si>
  <si>
    <t>중외공원</t>
    <phoneticPr fontId="2" type="noConversion"/>
  </si>
  <si>
    <t>30,251명</t>
    <phoneticPr fontId="2" type="noConversion"/>
  </si>
  <si>
    <t>민간사업자</t>
    <phoneticPr fontId="2" type="noConversion"/>
  </si>
  <si>
    <t>이은미</t>
    <phoneticPr fontId="2" type="noConversion"/>
  </si>
  <si>
    <t>062-613-3433</t>
    <phoneticPr fontId="2" type="noConversion"/>
  </si>
  <si>
    <t>제29회 광주세계김치축제</t>
  </si>
  <si>
    <t>10.~11.</t>
    <phoneticPr fontId="2" type="noConversion"/>
  </si>
  <si>
    <t>광주김치타운</t>
  </si>
  <si>
    <t>1994년</t>
  </si>
  <si>
    <t>광주세계김치
축제위원회</t>
  </si>
  <si>
    <t>광주세계김치축제위원회 운영규정</t>
  </si>
  <si>
    <t>최은아</t>
  </si>
  <si>
    <t>062-613-3992</t>
  </si>
  <si>
    <t>제19회 추억의 충장축제</t>
    <phoneticPr fontId="2" type="noConversion"/>
  </si>
  <si>
    <t>충장로, 금남로 일원</t>
    <phoneticPr fontId="2" type="noConversion"/>
  </si>
  <si>
    <t>211,639명</t>
    <phoneticPr fontId="2" type="noConversion"/>
  </si>
  <si>
    <t>추억의충장축제위원회</t>
    <phoneticPr fontId="2" type="noConversion"/>
  </si>
  <si>
    <t>광주광역시 동구 추억의 충장축제 운영에 관한 조례</t>
    <phoneticPr fontId="2" type="noConversion"/>
  </si>
  <si>
    <t>박태경</t>
    <phoneticPr fontId="2" type="noConversion"/>
  </si>
  <si>
    <t>062-608-2422</t>
    <phoneticPr fontId="2" type="noConversion"/>
  </si>
  <si>
    <t>영산강 서창들녘 억새축제</t>
    <phoneticPr fontId="2" type="noConversion"/>
  </si>
  <si>
    <t>영산강 자전거길안내센터 일원</t>
    <phoneticPr fontId="2" type="noConversion"/>
  </si>
  <si>
    <t>13,000명</t>
    <phoneticPr fontId="2" type="noConversion"/>
  </si>
  <si>
    <t>광주광역시 서구 문화예술과</t>
    <phoneticPr fontId="2" type="noConversion"/>
  </si>
  <si>
    <t>광주광역시 서구 문화예술진흥에관한 조례</t>
    <phoneticPr fontId="2" type="noConversion"/>
  </si>
  <si>
    <t>김성환</t>
    <phoneticPr fontId="2" type="noConversion"/>
  </si>
  <si>
    <t>062-350-4792</t>
    <phoneticPr fontId="2" type="noConversion"/>
  </si>
  <si>
    <t>제39회 고싸움놀이축제</t>
  </si>
  <si>
    <t>고싸움놀이테마파크</t>
  </si>
  <si>
    <t>3,500명</t>
    <phoneticPr fontId="2" type="noConversion"/>
  </si>
  <si>
    <t>광주칠석고싸움놀이보존회</t>
  </si>
  <si>
    <t>무형문화재 보전 및 진흥에 관한 법률</t>
  </si>
  <si>
    <t>나다솔</t>
  </si>
  <si>
    <t>062-607-2315</t>
    <phoneticPr fontId="2" type="noConversion"/>
  </si>
  <si>
    <t>제11회 굿모닝!양림</t>
  </si>
  <si>
    <t>양림동 일원</t>
  </si>
  <si>
    <t>6,000명</t>
    <phoneticPr fontId="2" type="noConversion"/>
  </si>
  <si>
    <t>남구문화원</t>
  </si>
  <si>
    <t>지방문화원진흥법</t>
  </si>
  <si>
    <t>임현균</t>
  </si>
  <si>
    <t>062-607-2312</t>
    <phoneticPr fontId="2" type="noConversion"/>
  </si>
  <si>
    <t xml:space="preserve">대구생활문화제 </t>
    <phoneticPr fontId="2" type="noConversion"/>
  </si>
  <si>
    <t>5월, 10월</t>
    <phoneticPr fontId="2" type="noConversion"/>
  </si>
  <si>
    <t>대구생활문화센터 등 대구일원</t>
    <phoneticPr fontId="2" type="noConversion"/>
  </si>
  <si>
    <t>895명</t>
    <phoneticPr fontId="2" type="noConversion"/>
  </si>
  <si>
    <t>대구문화재단</t>
    <phoneticPr fontId="2" type="noConversion"/>
  </si>
  <si>
    <t>대구광역시 문화재단 설립 및 운영 조례</t>
    <phoneticPr fontId="2" type="noConversion"/>
  </si>
  <si>
    <t>053-803-3632</t>
    <phoneticPr fontId="2" type="noConversion"/>
  </si>
  <si>
    <t>대구포크페스티벌</t>
    <phoneticPr fontId="2" type="noConversion"/>
  </si>
  <si>
    <t>07.28.~07.30.</t>
  </si>
  <si>
    <t>코오롱야외음악당</t>
    <phoneticPr fontId="2" type="noConversion"/>
  </si>
  <si>
    <t>2만명</t>
    <phoneticPr fontId="2" type="noConversion"/>
  </si>
  <si>
    <t>대구포크페스티벌 조직위원회</t>
    <phoneticPr fontId="2" type="noConversion"/>
  </si>
  <si>
    <t>문화예술진흥법 제3조, 제39조 등</t>
    <phoneticPr fontId="2" type="noConversion"/>
  </si>
  <si>
    <t>053-803-3746</t>
    <phoneticPr fontId="2" type="noConversion"/>
  </si>
  <si>
    <t>대구국제재즈축제</t>
    <phoneticPr fontId="2" type="noConversion"/>
  </si>
  <si>
    <t>수성못</t>
    <phoneticPr fontId="2" type="noConversion"/>
  </si>
  <si>
    <t>2,400여명</t>
    <phoneticPr fontId="2" type="noConversion"/>
  </si>
  <si>
    <t>대구국제재즈축제 조직위원회</t>
    <phoneticPr fontId="2" type="noConversion"/>
  </si>
  <si>
    <t>형형색색 달구벌 관등놀이</t>
    <phoneticPr fontId="2" type="noConversion"/>
  </si>
  <si>
    <t>4~5월중</t>
    <phoneticPr fontId="2" type="noConversion"/>
  </si>
  <si>
    <t>대구전역</t>
    <phoneticPr fontId="2" type="noConversion"/>
  </si>
  <si>
    <t>대구불교총연합회</t>
    <phoneticPr fontId="2" type="noConversion"/>
  </si>
  <si>
    <t>손진현</t>
    <phoneticPr fontId="2" type="noConversion"/>
  </si>
  <si>
    <t>053-803-3732</t>
    <phoneticPr fontId="2" type="noConversion"/>
  </si>
  <si>
    <t>대구컬러풀페스티벌</t>
    <phoneticPr fontId="2" type="noConversion"/>
  </si>
  <si>
    <t>05.07.~05.08.</t>
    <phoneticPr fontId="2" type="noConversion"/>
  </si>
  <si>
    <t>국채보상로 일원</t>
    <phoneticPr fontId="2" type="noConversion"/>
  </si>
  <si>
    <t>현준혁</t>
    <phoneticPr fontId="2" type="noConversion"/>
  </si>
  <si>
    <t>053-803-6224</t>
    <phoneticPr fontId="2" type="noConversion"/>
  </si>
  <si>
    <t>대구국제뮤지컬페스티벌</t>
    <phoneticPr fontId="2" type="noConversion"/>
  </si>
  <si>
    <t>06.24.~07.11.</t>
    <phoneticPr fontId="2" type="noConversion"/>
  </si>
  <si>
    <t>오페라하우스 및 공연장</t>
    <phoneticPr fontId="2" type="noConversion"/>
  </si>
  <si>
    <t>12,464명</t>
    <phoneticPr fontId="2" type="noConversion"/>
  </si>
  <si>
    <t>장수정</t>
    <phoneticPr fontId="2" type="noConversion"/>
  </si>
  <si>
    <t>053-803-3791</t>
    <phoneticPr fontId="2" type="noConversion"/>
  </si>
  <si>
    <t>대구국제오페라축제</t>
    <phoneticPr fontId="2" type="noConversion"/>
  </si>
  <si>
    <t>09.21.~11.12.</t>
    <phoneticPr fontId="2" type="noConversion"/>
  </si>
  <si>
    <t>대구오페라하우스 등</t>
    <phoneticPr fontId="2" type="noConversion"/>
  </si>
  <si>
    <t>27,855명</t>
    <phoneticPr fontId="2" type="noConversion"/>
  </si>
  <si>
    <t>714명</t>
    <phoneticPr fontId="2" type="noConversion"/>
  </si>
  <si>
    <t>(재)대구오페라하우스</t>
    <phoneticPr fontId="2" type="noConversion"/>
  </si>
  <si>
    <t>대구광역시 오페라하우스 설립 및 운영에 관한 조례</t>
    <phoneticPr fontId="2" type="noConversion"/>
  </si>
  <si>
    <t>유산나</t>
    <phoneticPr fontId="2" type="noConversion"/>
  </si>
  <si>
    <t>053-803-3792</t>
    <phoneticPr fontId="2" type="noConversion"/>
  </si>
  <si>
    <t>글로벌게임문화축제 e-Fun 2022</t>
    <phoneticPr fontId="2" type="noConversion"/>
  </si>
  <si>
    <t>기타(산업육성)</t>
    <phoneticPr fontId="2" type="noConversion"/>
  </si>
  <si>
    <t>엑스코</t>
    <phoneticPr fontId="2" type="noConversion"/>
  </si>
  <si>
    <t>499명</t>
    <phoneticPr fontId="2" type="noConversion"/>
  </si>
  <si>
    <t>대구디지털산업진흥원</t>
    <phoneticPr fontId="2" type="noConversion"/>
  </si>
  <si>
    <t>대구디지털산업진흥원 설립 및 운영지원 조례</t>
    <phoneticPr fontId="2" type="noConversion"/>
  </si>
  <si>
    <t>유훈식</t>
    <phoneticPr fontId="2" type="noConversion"/>
  </si>
  <si>
    <t>053-803-3801</t>
    <phoneticPr fontId="2" type="noConversion"/>
  </si>
  <si>
    <t>팔공산 산중전통장터 승시 재연</t>
    <phoneticPr fontId="14" type="noConversion"/>
  </si>
  <si>
    <t>동화사</t>
    <phoneticPr fontId="2" type="noConversion"/>
  </si>
  <si>
    <t>대한불교조계종 동화사</t>
    <phoneticPr fontId="2" type="noConversion"/>
  </si>
  <si>
    <t>권만혁</t>
    <phoneticPr fontId="2" type="noConversion"/>
  </si>
  <si>
    <t>053-803-6514</t>
    <phoneticPr fontId="2" type="noConversion"/>
  </si>
  <si>
    <t>대구치맥페스티벌</t>
    <phoneticPr fontId="2" type="noConversion"/>
  </si>
  <si>
    <t>두류공원 일대</t>
    <phoneticPr fontId="2" type="noConversion"/>
  </si>
  <si>
    <t>한국치맥산업협회</t>
    <phoneticPr fontId="2" type="noConversion"/>
  </si>
  <si>
    <t>최서은</t>
    <phoneticPr fontId="2" type="noConversion"/>
  </si>
  <si>
    <t>053-248-9998</t>
    <phoneticPr fontId="2" type="noConversion"/>
  </si>
  <si>
    <t>대구국제패션문화페스티벌</t>
    <phoneticPr fontId="2" type="noConversion"/>
  </si>
  <si>
    <t>30만명(접속누계)</t>
    <phoneticPr fontId="2" type="noConversion"/>
  </si>
  <si>
    <t>민간보조사업(한국패션산업연구원)</t>
    <phoneticPr fontId="2" type="noConversion"/>
  </si>
  <si>
    <t>이민호</t>
    <phoneticPr fontId="2" type="noConversion"/>
  </si>
  <si>
    <t>053-803-3352</t>
    <phoneticPr fontId="2" type="noConversion"/>
  </si>
  <si>
    <t>대구 약령시 한방문화축제</t>
    <phoneticPr fontId="2" type="noConversion"/>
  </si>
  <si>
    <t>대구 약령시 일원</t>
    <phoneticPr fontId="2" type="noConversion"/>
  </si>
  <si>
    <t>37만명</t>
    <phoneticPr fontId="2" type="noConversion"/>
  </si>
  <si>
    <t>대구약령시보존위원회</t>
    <phoneticPr fontId="2" type="noConversion"/>
  </si>
  <si>
    <t>민번 제32조, 대구광역시 사무의 민간위탁 촉진 및 관리 조례 제4조, 대구광역시 한의약박물관 관리 및 운영조례</t>
    <phoneticPr fontId="2" type="noConversion"/>
  </si>
  <si>
    <t>이지은</t>
    <phoneticPr fontId="2" type="noConversion"/>
  </si>
  <si>
    <t>053-803-6452</t>
    <phoneticPr fontId="2" type="noConversion"/>
  </si>
  <si>
    <t>대구패션주얼리위크</t>
    <phoneticPr fontId="2" type="noConversion"/>
  </si>
  <si>
    <t>05.13.~05.15.</t>
    <phoneticPr fontId="2" type="noConversion"/>
  </si>
  <si>
    <t>주얼리특구</t>
    <phoneticPr fontId="2" type="noConversion"/>
  </si>
  <si>
    <t>80명</t>
    <phoneticPr fontId="2" type="noConversion"/>
  </si>
  <si>
    <t>패션주얼리특구상인회</t>
    <phoneticPr fontId="2" type="noConversion"/>
  </si>
  <si>
    <t>상인회</t>
    <phoneticPr fontId="2" type="noConversion"/>
  </si>
  <si>
    <t>전통시장 및 상점가 육성을 위한 특별법</t>
  </si>
  <si>
    <t>김민우</t>
    <phoneticPr fontId="2" type="noConversion"/>
  </si>
  <si>
    <t>053-661-2646</t>
    <phoneticPr fontId="2" type="noConversion"/>
  </si>
  <si>
    <t>대구스트리트모터페스티벌</t>
    <phoneticPr fontId="2" type="noConversion"/>
  </si>
  <si>
    <t>기타(주민화합, 산업육성)</t>
    <phoneticPr fontId="2" type="noConversion"/>
  </si>
  <si>
    <t>05.14.~05.15.</t>
    <phoneticPr fontId="2" type="noConversion"/>
  </si>
  <si>
    <t>대구 중구 남산동 자동차골목 일원</t>
  </si>
  <si>
    <t>대구스트리트모터페스티벌 조직위원회</t>
  </si>
  <si>
    <t>상인회</t>
  </si>
  <si>
    <t>홍성미</t>
    <phoneticPr fontId="2" type="noConversion"/>
  </si>
  <si>
    <t>053-661-3014</t>
  </si>
  <si>
    <t>종로맛길축제</t>
    <phoneticPr fontId="2" type="noConversion"/>
  </si>
  <si>
    <t>종로 일대</t>
    <phoneticPr fontId="2" type="noConversion"/>
  </si>
  <si>
    <t>종로맛집골목상인회</t>
    <phoneticPr fontId="2" type="noConversion"/>
  </si>
  <si>
    <t>김누리</t>
    <phoneticPr fontId="2" type="noConversion"/>
  </si>
  <si>
    <t>053-661-2643</t>
    <phoneticPr fontId="2" type="noConversion"/>
  </si>
  <si>
    <t>문화재의 밤, 대구로시간여행</t>
    <phoneticPr fontId="2" type="noConversion"/>
  </si>
  <si>
    <t>청라언덕
경상감영</t>
    <phoneticPr fontId="2" type="noConversion"/>
  </si>
  <si>
    <t>김동균</t>
    <phoneticPr fontId="2" type="noConversion"/>
  </si>
  <si>
    <t>053-661-2195</t>
    <phoneticPr fontId="2" type="noConversion"/>
  </si>
  <si>
    <t>김광석 나의노래 다시부르기</t>
    <phoneticPr fontId="2" type="noConversion"/>
  </si>
  <si>
    <t>신천둔치</t>
    <phoneticPr fontId="2" type="noConversion"/>
  </si>
  <si>
    <t>무관중</t>
    <phoneticPr fontId="2" type="noConversion"/>
  </si>
  <si>
    <t>대구문화방송㈜</t>
    <phoneticPr fontId="2" type="noConversion"/>
  </si>
  <si>
    <t>조효남</t>
    <phoneticPr fontId="2" type="noConversion"/>
  </si>
  <si>
    <t>053-661-2177</t>
    <phoneticPr fontId="2" type="noConversion"/>
  </si>
  <si>
    <t>서문시장글로벌대축제</t>
    <phoneticPr fontId="2" type="noConversion"/>
  </si>
  <si>
    <t>서문시장일대</t>
    <phoneticPr fontId="2" type="noConversion"/>
  </si>
  <si>
    <t>서문시장상가연합회</t>
    <phoneticPr fontId="2" type="noConversion"/>
  </si>
  <si>
    <t>중기부</t>
    <phoneticPr fontId="2" type="noConversion"/>
  </si>
  <si>
    <t>권남국</t>
    <phoneticPr fontId="2" type="noConversion"/>
  </si>
  <si>
    <t>053-661-2673</t>
    <phoneticPr fontId="2" type="noConversion"/>
  </si>
  <si>
    <t>빨간구두이야기</t>
    <phoneticPr fontId="2" type="noConversion"/>
  </si>
  <si>
    <t>향촌동 수제화골목</t>
    <phoneticPr fontId="2" type="noConversion"/>
  </si>
  <si>
    <t>2,000명
(온라인 실시간 스트리밍 시청자수)</t>
    <phoneticPr fontId="2" type="noConversion"/>
  </si>
  <si>
    <t>대구광역시 수제화협회</t>
    <phoneticPr fontId="2" type="noConversion"/>
  </si>
  <si>
    <t>성윤제</t>
    <phoneticPr fontId="2" type="noConversion"/>
  </si>
  <si>
    <t>053-661-2647</t>
    <phoneticPr fontId="2" type="noConversion"/>
  </si>
  <si>
    <t>교동시장한마음축제</t>
    <phoneticPr fontId="2" type="noConversion"/>
  </si>
  <si>
    <t>교동시장일대</t>
    <phoneticPr fontId="2" type="noConversion"/>
  </si>
  <si>
    <t>교동시장활성화구역상인회</t>
    <phoneticPr fontId="2" type="noConversion"/>
  </si>
  <si>
    <t>동성로축제</t>
    <phoneticPr fontId="2" type="noConversion"/>
  </si>
  <si>
    <t>동성로일원</t>
    <phoneticPr fontId="2" type="noConversion"/>
  </si>
  <si>
    <t xml:space="preserve">온라인 비대면 </t>
    <phoneticPr fontId="2" type="noConversion"/>
  </si>
  <si>
    <t>(사)달성문화선양회</t>
    <phoneticPr fontId="2" type="noConversion"/>
  </si>
  <si>
    <t>비영리민간단체</t>
    <phoneticPr fontId="2" type="noConversion"/>
  </si>
  <si>
    <t>봉산미술제</t>
    <phoneticPr fontId="2" type="noConversion"/>
  </si>
  <si>
    <t>봉산문화거리일원</t>
    <phoneticPr fontId="2" type="noConversion"/>
  </si>
  <si>
    <t>0.1만(혼합형)</t>
    <phoneticPr fontId="2" type="noConversion"/>
  </si>
  <si>
    <t>봉산문화협회</t>
    <phoneticPr fontId="2" type="noConversion"/>
  </si>
  <si>
    <t>김광석페스티벌</t>
    <phoneticPr fontId="2" type="noConversion"/>
  </si>
  <si>
    <t>김광석거리일원</t>
    <phoneticPr fontId="2" type="noConversion"/>
  </si>
  <si>
    <t>방천문화예술협회</t>
    <phoneticPr fontId="2" type="noConversion"/>
  </si>
  <si>
    <t>대구화교중화문화축제</t>
    <phoneticPr fontId="2" type="noConversion"/>
  </si>
  <si>
    <t>대구화교소학교, 종로거리일원</t>
    <phoneticPr fontId="2" type="noConversion"/>
  </si>
  <si>
    <t>대구화교협회</t>
    <phoneticPr fontId="2" type="noConversion"/>
  </si>
  <si>
    <t>팔공산벚꽃축제</t>
    <phoneticPr fontId="2" type="noConversion"/>
  </si>
  <si>
    <t>팔공산
동화지구</t>
    <phoneticPr fontId="2" type="noConversion"/>
  </si>
  <si>
    <t>팔공산 동화지구 상가번영회</t>
    <phoneticPr fontId="2" type="noConversion"/>
  </si>
  <si>
    <t>박윤미</t>
    <phoneticPr fontId="2" type="noConversion"/>
  </si>
  <si>
    <t>053-662-4072</t>
    <phoneticPr fontId="2" type="noConversion"/>
  </si>
  <si>
    <t>(미정)동구대표축제</t>
    <phoneticPr fontId="2" type="noConversion"/>
  </si>
  <si>
    <t>대구 동구</t>
    <phoneticPr fontId="2" type="noConversion"/>
  </si>
  <si>
    <t>공공(시군구)</t>
    <phoneticPr fontId="2" type="noConversion"/>
  </si>
  <si>
    <t>용암산성옥샘문화제</t>
    <phoneticPr fontId="2" type="noConversion"/>
  </si>
  <si>
    <t>불로천
다목적광장</t>
    <phoneticPr fontId="2" type="noConversion"/>
  </si>
  <si>
    <t>용암산성 옥샘문화제 추진위원회</t>
    <phoneticPr fontId="2" type="noConversion"/>
  </si>
  <si>
    <t>팔공산 단품축제</t>
    <phoneticPr fontId="2" type="noConversion"/>
  </si>
  <si>
    <t>달구벌목민관 부임
마을축제</t>
    <phoneticPr fontId="14" type="noConversion"/>
  </si>
  <si>
    <t>서구일대 
북비산 네거리</t>
    <phoneticPr fontId="2" type="noConversion"/>
  </si>
  <si>
    <t>대구 서구</t>
    <phoneticPr fontId="2" type="noConversion"/>
  </si>
  <si>
    <t>전소희</t>
    <phoneticPr fontId="2" type="noConversion"/>
  </si>
  <si>
    <t>053-663-2184</t>
    <phoneticPr fontId="2" type="noConversion"/>
  </si>
  <si>
    <t>남구</t>
    <phoneticPr fontId="2" type="noConversion"/>
  </si>
  <si>
    <t>대덕제 대구앞산축제</t>
    <phoneticPr fontId="2" type="noConversion"/>
  </si>
  <si>
    <t>4월~6월중</t>
    <phoneticPr fontId="2" type="noConversion"/>
  </si>
  <si>
    <t xml:space="preserve">앞산 일원 </t>
    <phoneticPr fontId="2" type="noConversion"/>
  </si>
  <si>
    <t>남구문화행사추진위원회</t>
    <phoneticPr fontId="2" type="noConversion"/>
  </si>
  <si>
    <t>대구광역시 남구 축제 운영에 관한 조례</t>
    <phoneticPr fontId="2" type="noConversion"/>
  </si>
  <si>
    <t>최민현</t>
    <phoneticPr fontId="2" type="noConversion"/>
  </si>
  <si>
    <t>053-664-3262</t>
    <phoneticPr fontId="2" type="noConversion"/>
  </si>
  <si>
    <t>대구할로윈축제</t>
    <phoneticPr fontId="2" type="noConversion"/>
  </si>
  <si>
    <t>앞산카페거리 및 안지랑곱창골목</t>
    <phoneticPr fontId="2" type="noConversion"/>
  </si>
  <si>
    <t>북구</t>
    <phoneticPr fontId="2" type="noConversion"/>
  </si>
  <si>
    <t>금호강바람소리길축제</t>
    <phoneticPr fontId="2" type="noConversion"/>
  </si>
  <si>
    <t>문화예술/생태환경</t>
    <phoneticPr fontId="2" type="noConversion"/>
  </si>
  <si>
    <t>9월~10월중</t>
    <phoneticPr fontId="2" type="noConversion"/>
  </si>
  <si>
    <t>금호강 산격대교 하단</t>
    <phoneticPr fontId="2" type="noConversion"/>
  </si>
  <si>
    <t>행복북구문화재단</t>
    <phoneticPr fontId="2" type="noConversion"/>
  </si>
  <si>
    <t>대구광역시 북구 문화재단 설립 및 운영에 관한 조례</t>
    <phoneticPr fontId="2" type="noConversion"/>
  </si>
  <si>
    <t>이효영</t>
    <phoneticPr fontId="2" type="noConversion"/>
  </si>
  <si>
    <t>053-665-2172</t>
    <phoneticPr fontId="2" type="noConversion"/>
  </si>
  <si>
    <t>논두렁밭두렁마을축제</t>
    <phoneticPr fontId="2" type="noConversion"/>
  </si>
  <si>
    <t>생태환경</t>
    <phoneticPr fontId="2" type="noConversion"/>
  </si>
  <si>
    <t>학정동 들녘</t>
    <phoneticPr fontId="2" type="noConversion"/>
  </si>
  <si>
    <t>강북풀뿌리단체협의회</t>
    <phoneticPr fontId="2" type="noConversion"/>
  </si>
  <si>
    <t>수성구</t>
    <phoneticPr fontId="2" type="noConversion"/>
  </si>
  <si>
    <t>수성못페스티벌</t>
    <phoneticPr fontId="2" type="noConversion"/>
  </si>
  <si>
    <t>09.23.~09.25.</t>
    <phoneticPr fontId="2" type="noConversion"/>
  </si>
  <si>
    <t xml:space="preserve">수성못 일원 </t>
    <phoneticPr fontId="2" type="noConversion"/>
  </si>
  <si>
    <t>수성문화재단</t>
    <phoneticPr fontId="2" type="noConversion"/>
  </si>
  <si>
    <t>대구광역시 수성구 문화재단 설립 및 운영에 관한 조례</t>
    <phoneticPr fontId="2" type="noConversion"/>
  </si>
  <si>
    <t>서은영</t>
    <phoneticPr fontId="2" type="noConversion"/>
  </si>
  <si>
    <t>053-666-2163</t>
    <phoneticPr fontId="2" type="noConversion"/>
  </si>
  <si>
    <t>달서구</t>
    <phoneticPr fontId="2" type="noConversion"/>
  </si>
  <si>
    <t>장미꽃 필 무렵</t>
    <phoneticPr fontId="2" type="noConversion"/>
  </si>
  <si>
    <t>05.20.~05.22.</t>
    <phoneticPr fontId="2" type="noConversion"/>
  </si>
  <si>
    <t>이곡장미공원 등</t>
    <phoneticPr fontId="2" type="noConversion"/>
  </si>
  <si>
    <t>2,730명</t>
    <phoneticPr fontId="2" type="noConversion"/>
  </si>
  <si>
    <t>달서문화재단</t>
    <phoneticPr fontId="2" type="noConversion"/>
  </si>
  <si>
    <t>대구광역시달서구 문화재단 설립 및 운영에 관한 조례(2021년)</t>
    <phoneticPr fontId="2" type="noConversion"/>
  </si>
  <si>
    <t>전영롱</t>
    <phoneticPr fontId="2" type="noConversion"/>
  </si>
  <si>
    <t>053-584-9714</t>
    <phoneticPr fontId="2" type="noConversion"/>
  </si>
  <si>
    <t>선사문화체험축제</t>
    <phoneticPr fontId="2" type="noConversion"/>
  </si>
  <si>
    <t>10.08.~10.09.</t>
    <phoneticPr fontId="2" type="noConversion"/>
  </si>
  <si>
    <t>한샘청동공원 등</t>
    <phoneticPr fontId="2" type="noConversion"/>
  </si>
  <si>
    <t>달서구문화원</t>
    <phoneticPr fontId="2" type="noConversion"/>
  </si>
  <si>
    <t>강효승</t>
    <phoneticPr fontId="2" type="noConversion"/>
  </si>
  <si>
    <t>053-554-4800</t>
    <phoneticPr fontId="2" type="noConversion"/>
  </si>
  <si>
    <t>달성군</t>
    <phoneticPr fontId="2" type="noConversion"/>
  </si>
  <si>
    <t>비슬산 참꽃문화제</t>
    <phoneticPr fontId="2" type="noConversion"/>
  </si>
  <si>
    <t>비슬산일원</t>
    <phoneticPr fontId="2" type="noConversion"/>
  </si>
  <si>
    <t>달성문화재단</t>
    <phoneticPr fontId="2" type="noConversion"/>
  </si>
  <si>
    <t>달성군 달성문화재단 설립 및 운영 조례(2013년)</t>
    <phoneticPr fontId="2" type="noConversion"/>
  </si>
  <si>
    <t>임재화</t>
    <phoneticPr fontId="2" type="noConversion"/>
  </si>
  <si>
    <t>053-668-2172</t>
    <phoneticPr fontId="2" type="noConversion"/>
  </si>
  <si>
    <t>달성100대피아노</t>
    <phoneticPr fontId="2" type="noConversion"/>
  </si>
  <si>
    <t>사문진상설야외공연장</t>
    <phoneticPr fontId="2" type="noConversion"/>
  </si>
  <si>
    <t>성산일출축제</t>
    <phoneticPr fontId="2" type="noConversion"/>
  </si>
  <si>
    <t>22. 12. 30 ~ '23.1.1</t>
    <phoneticPr fontId="2" type="noConversion"/>
  </si>
  <si>
    <t>성산일출봉</t>
    <phoneticPr fontId="2" type="noConversion"/>
  </si>
  <si>
    <t>1984년</t>
    <phoneticPr fontId="2" type="noConversion"/>
  </si>
  <si>
    <t>성산일축축제추진위원회</t>
    <phoneticPr fontId="2" type="noConversion"/>
  </si>
  <si>
    <t>유네스코 등록유산 관리에 관한 조례</t>
    <phoneticPr fontId="2" type="noConversion"/>
  </si>
  <si>
    <t>허진이</t>
    <phoneticPr fontId="2" type="noConversion"/>
  </si>
  <si>
    <t>064-710-6974</t>
    <phoneticPr fontId="2" type="noConversion"/>
  </si>
  <si>
    <t>탐라문화제</t>
    <phoneticPr fontId="2" type="noConversion"/>
  </si>
  <si>
    <t>10.5.~10.9.</t>
    <phoneticPr fontId="2" type="noConversion"/>
  </si>
  <si>
    <t>탐라문화광장 등</t>
    <phoneticPr fontId="2" type="noConversion"/>
  </si>
  <si>
    <t>한국예총제주특별자치도연합회</t>
    <phoneticPr fontId="2" type="noConversion"/>
  </si>
  <si>
    <t>고은숙</t>
    <phoneticPr fontId="2" type="noConversion"/>
  </si>
  <si>
    <t>064-710-3417</t>
    <phoneticPr fontId="2" type="noConversion"/>
  </si>
  <si>
    <t>서귀포시</t>
    <phoneticPr fontId="2" type="noConversion"/>
  </si>
  <si>
    <t>서귀포 칠십리축제</t>
    <phoneticPr fontId="2" type="noConversion"/>
  </si>
  <si>
    <t>서귀포시 일원</t>
    <phoneticPr fontId="2" type="noConversion"/>
  </si>
  <si>
    <t>고건혁</t>
    <phoneticPr fontId="2" type="noConversion"/>
  </si>
  <si>
    <t>064-760-3942</t>
    <phoneticPr fontId="2" type="noConversion"/>
  </si>
  <si>
    <t>제17회 제주마축제</t>
    <phoneticPr fontId="2" type="noConversion"/>
  </si>
  <si>
    <t>한국마사회 제주경마장</t>
    <phoneticPr fontId="2" type="noConversion"/>
  </si>
  <si>
    <t>한국마사회</t>
    <phoneticPr fontId="2" type="noConversion"/>
  </si>
  <si>
    <t>공공기관</t>
    <phoneticPr fontId="2" type="noConversion"/>
  </si>
  <si>
    <t>한국마사회법</t>
    <phoneticPr fontId="2" type="noConversion"/>
  </si>
  <si>
    <t>변재현</t>
    <phoneticPr fontId="2" type="noConversion"/>
  </si>
  <si>
    <t>064-710-4832</t>
    <phoneticPr fontId="2" type="noConversion"/>
  </si>
  <si>
    <t>제주시</t>
    <phoneticPr fontId="2" type="noConversion"/>
  </si>
  <si>
    <t>탐라국 입춘굿</t>
    <phoneticPr fontId="2" type="noConversion"/>
  </si>
  <si>
    <t>2월 중</t>
    <phoneticPr fontId="2" type="noConversion"/>
  </si>
  <si>
    <t>제주목관아 일대</t>
    <phoneticPr fontId="2" type="noConversion"/>
  </si>
  <si>
    <t>민예총</t>
    <phoneticPr fontId="2" type="noConversion"/>
  </si>
  <si>
    <t>064-728-2713</t>
    <phoneticPr fontId="2" type="noConversion"/>
  </si>
  <si>
    <t>제주들불축제</t>
    <phoneticPr fontId="2" type="noConversion"/>
  </si>
  <si>
    <t>새별오름</t>
    <phoneticPr fontId="2" type="noConversion"/>
  </si>
  <si>
    <t>1997년</t>
    <phoneticPr fontId="2" type="noConversion"/>
  </si>
  <si>
    <t>1,600명</t>
    <phoneticPr fontId="2" type="noConversion"/>
  </si>
  <si>
    <t>제주시 관광진흥과</t>
    <phoneticPr fontId="2" type="noConversion"/>
  </si>
  <si>
    <t>김철석</t>
    <phoneticPr fontId="2" type="noConversion"/>
  </si>
  <si>
    <t>064-728-2753</t>
    <phoneticPr fontId="2" type="noConversion"/>
  </si>
  <si>
    <t>전농로 왕벚꽃축제</t>
    <phoneticPr fontId="2" type="noConversion"/>
  </si>
  <si>
    <t>삼도1동 전농로 일대</t>
    <phoneticPr fontId="2" type="noConversion"/>
  </si>
  <si>
    <t>전농로왕벚꽃축제추진위원회</t>
    <phoneticPr fontId="2" type="noConversion"/>
  </si>
  <si>
    <t>제주특별자치도 축제육성 및 지원에 관한 조례</t>
    <phoneticPr fontId="2" type="noConversion"/>
  </si>
  <si>
    <t>차무관</t>
    <phoneticPr fontId="2" type="noConversion"/>
  </si>
  <si>
    <t>064-728-4531</t>
    <phoneticPr fontId="2" type="noConversion"/>
  </si>
  <si>
    <t>제29회 제주왕벚꽃축제</t>
    <phoneticPr fontId="2" type="noConversion"/>
  </si>
  <si>
    <t>3월~4월</t>
    <phoneticPr fontId="2" type="noConversion"/>
  </si>
  <si>
    <t>애월읍 장전리 일원</t>
    <phoneticPr fontId="2" type="noConversion"/>
  </si>
  <si>
    <t>애월읍연합청년회</t>
    <phoneticPr fontId="2" type="noConversion"/>
  </si>
  <si>
    <t>제주특별자치도 축제육성 및 지원에 관한 조례 제14조</t>
    <phoneticPr fontId="2" type="noConversion"/>
  </si>
  <si>
    <t>강창훈</t>
    <phoneticPr fontId="2" type="noConversion"/>
  </si>
  <si>
    <t>064-728-8817</t>
    <phoneticPr fontId="2" type="noConversion"/>
  </si>
  <si>
    <t>제39회 제주유채꽃축제</t>
    <phoneticPr fontId="2" type="noConversion"/>
  </si>
  <si>
    <t>3~4월 중</t>
    <phoneticPr fontId="2" type="noConversion"/>
  </si>
  <si>
    <t>가시리 유채꽃광장 일대</t>
    <phoneticPr fontId="2" type="noConversion"/>
  </si>
  <si>
    <r>
      <t xml:space="preserve">9,550명
</t>
    </r>
    <r>
      <rPr>
        <sz val="8"/>
        <color theme="1"/>
        <rFont val="맑은 고딕"/>
        <family val="3"/>
        <charset val="129"/>
        <scheme val="minor"/>
      </rPr>
      <t>(현장+온라인 시청)</t>
    </r>
    <phoneticPr fontId="2" type="noConversion"/>
  </si>
  <si>
    <t>서귀포시 관광진흥과</t>
    <phoneticPr fontId="2" type="noConversion"/>
  </si>
  <si>
    <t>064-760-3946</t>
    <phoneticPr fontId="2" type="noConversion"/>
  </si>
  <si>
    <t>제12회 우도소라축제</t>
    <phoneticPr fontId="2" type="noConversion"/>
  </si>
  <si>
    <t>천진항 일원</t>
    <phoneticPr fontId="2" type="noConversion"/>
  </si>
  <si>
    <t>우도면연합청년회</t>
    <phoneticPr fontId="2" type="noConversion"/>
  </si>
  <si>
    <t>양치우</t>
    <phoneticPr fontId="2" type="noConversion"/>
  </si>
  <si>
    <t>064-728-4321</t>
    <phoneticPr fontId="2" type="noConversion"/>
  </si>
  <si>
    <t>제12회 가파도 청보리축제</t>
    <phoneticPr fontId="2" type="noConversion"/>
  </si>
  <si>
    <t>04.01.~05.08.</t>
    <phoneticPr fontId="2" type="noConversion"/>
  </si>
  <si>
    <t>가파도</t>
    <phoneticPr fontId="2" type="noConversion"/>
  </si>
  <si>
    <t>가파도청보리축제위원회</t>
    <phoneticPr fontId="2" type="noConversion"/>
  </si>
  <si>
    <t xml:space="preserve">제주특별자치도 축제육성 및 지원에 관한 조례 제14조 </t>
    <phoneticPr fontId="2" type="noConversion"/>
  </si>
  <si>
    <t>고환범</t>
    <phoneticPr fontId="2" type="noConversion"/>
  </si>
  <si>
    <t>064-760-4085</t>
    <phoneticPr fontId="2" type="noConversion"/>
  </si>
  <si>
    <t>제26회 한라산 청정
고사리축제</t>
    <phoneticPr fontId="2" type="noConversion"/>
  </si>
  <si>
    <t>한남리 산76-7 고사리 축제장</t>
    <phoneticPr fontId="2" type="noConversion"/>
  </si>
  <si>
    <t>남원읍
축제위원회</t>
    <phoneticPr fontId="2" type="noConversion"/>
  </si>
  <si>
    <t>제주특별자치도 축제 육성 및 지원에 
관한 조례</t>
    <phoneticPr fontId="2" type="noConversion"/>
  </si>
  <si>
    <t>홍종한</t>
    <phoneticPr fontId="2" type="noConversion"/>
  </si>
  <si>
    <t>064-760-4182</t>
    <phoneticPr fontId="2" type="noConversion"/>
  </si>
  <si>
    <t>제19회 방선문축제</t>
    <phoneticPr fontId="2" type="noConversion"/>
  </si>
  <si>
    <t>5.7.~5.8.</t>
    <phoneticPr fontId="2" type="noConversion"/>
  </si>
  <si>
    <t>방선문</t>
    <phoneticPr fontId="2" type="noConversion"/>
  </si>
  <si>
    <t>방선문축제위원회</t>
    <phoneticPr fontId="2" type="noConversion"/>
  </si>
  <si>
    <t>오진표</t>
    <phoneticPr fontId="2" type="noConversion"/>
  </si>
  <si>
    <t>064-728-4802</t>
    <phoneticPr fontId="2" type="noConversion"/>
  </si>
  <si>
    <t>제4회 은갈치축제</t>
    <phoneticPr fontId="2" type="noConversion"/>
  </si>
  <si>
    <t>서귀포항 일원</t>
    <phoneticPr fontId="2" type="noConversion"/>
  </si>
  <si>
    <t>서귀포은갈치축제위원회</t>
    <phoneticPr fontId="2" type="noConversion"/>
  </si>
  <si>
    <t>김지현</t>
    <phoneticPr fontId="2" type="noConversion"/>
  </si>
  <si>
    <t>064-710-3243</t>
    <phoneticPr fontId="2" type="noConversion"/>
  </si>
  <si>
    <t>제19회 보목자리돔축제</t>
    <phoneticPr fontId="2" type="noConversion"/>
  </si>
  <si>
    <t>5-6월 중(3일간)</t>
    <phoneticPr fontId="2" type="noConversion"/>
  </si>
  <si>
    <t>보목포구</t>
    <phoneticPr fontId="2" type="noConversion"/>
  </si>
  <si>
    <t>2,400명</t>
    <phoneticPr fontId="2" type="noConversion"/>
  </si>
  <si>
    <t>보목자리돔축제위원회</t>
    <phoneticPr fontId="2" type="noConversion"/>
  </si>
  <si>
    <t>강기석</t>
    <phoneticPr fontId="2" type="noConversion"/>
  </si>
  <si>
    <t>064-760-4502</t>
    <phoneticPr fontId="2" type="noConversion"/>
  </si>
  <si>
    <t>제7회 돈내코 원앙축제</t>
    <phoneticPr fontId="2" type="noConversion"/>
  </si>
  <si>
    <t>기타(관광)</t>
    <phoneticPr fontId="2" type="noConversion"/>
  </si>
  <si>
    <t>6~8월중</t>
    <phoneticPr fontId="2" type="noConversion"/>
  </si>
  <si>
    <t>돈내코</t>
    <phoneticPr fontId="2" type="noConversion"/>
  </si>
  <si>
    <t>영천동축제위원회</t>
    <phoneticPr fontId="2" type="noConversion"/>
  </si>
  <si>
    <t>김유란</t>
    <phoneticPr fontId="2" type="noConversion"/>
  </si>
  <si>
    <t>064-760-4653</t>
    <phoneticPr fontId="2" type="noConversion"/>
  </si>
  <si>
    <t>제4회 하하페스티벌</t>
    <phoneticPr fontId="2" type="noConversion"/>
  </si>
  <si>
    <t>07.08.~07.09.</t>
    <phoneticPr fontId="2" type="noConversion"/>
  </si>
  <si>
    <t>북수구광장</t>
    <phoneticPr fontId="2" type="noConversion"/>
  </si>
  <si>
    <t>제주시 일도1동</t>
    <phoneticPr fontId="2" type="noConversion"/>
  </si>
  <si>
    <t>이동훈</t>
    <phoneticPr fontId="2" type="noConversion"/>
  </si>
  <si>
    <t>064-728-4427</t>
    <phoneticPr fontId="2" type="noConversion"/>
  </si>
  <si>
    <t>표선해비치 해변하얀모래 축제</t>
    <phoneticPr fontId="2" type="noConversion"/>
  </si>
  <si>
    <t>8.6~8.7(예정)</t>
    <phoneticPr fontId="2" type="noConversion"/>
  </si>
  <si>
    <t>표선해변</t>
    <phoneticPr fontId="2" type="noConversion"/>
  </si>
  <si>
    <t>표선리마을회</t>
    <phoneticPr fontId="2" type="noConversion"/>
  </si>
  <si>
    <t>강범수</t>
    <phoneticPr fontId="2" type="noConversion"/>
  </si>
  <si>
    <t>064-760-4438</t>
    <phoneticPr fontId="2" type="noConversion"/>
  </si>
  <si>
    <t>제21회 삼양검은모래축제</t>
    <phoneticPr fontId="2" type="noConversion"/>
  </si>
  <si>
    <t>07.23.~07.24.</t>
    <phoneticPr fontId="2" type="noConversion"/>
  </si>
  <si>
    <t>삼양해수욕장 일원</t>
    <phoneticPr fontId="2" type="noConversion"/>
  </si>
  <si>
    <t>삼양검은모래축제위원회</t>
    <phoneticPr fontId="2" type="noConversion"/>
  </si>
  <si>
    <t>양우인</t>
    <phoneticPr fontId="2" type="noConversion"/>
  </si>
  <si>
    <t>064-728-4713</t>
    <phoneticPr fontId="2" type="noConversion"/>
  </si>
  <si>
    <t>제 20회 예래생태체험축제</t>
    <phoneticPr fontId="2" type="noConversion"/>
  </si>
  <si>
    <t>논짓물</t>
    <phoneticPr fontId="2" type="noConversion"/>
  </si>
  <si>
    <t>예래동주민자치위원회/예래생태체험축제위원회</t>
    <phoneticPr fontId="2" type="noConversion"/>
  </si>
  <si>
    <t>정대성</t>
    <phoneticPr fontId="2" type="noConversion"/>
  </si>
  <si>
    <t>064-760-4845</t>
    <phoneticPr fontId="2" type="noConversion"/>
  </si>
  <si>
    <t>제17회 이호테우축제</t>
    <phoneticPr fontId="2" type="noConversion"/>
  </si>
  <si>
    <t>7월말~8월초</t>
    <phoneticPr fontId="2" type="noConversion"/>
  </si>
  <si>
    <t>이호테우해수욕장</t>
    <phoneticPr fontId="2" type="noConversion"/>
  </si>
  <si>
    <t>이호테우축제위원회</t>
    <phoneticPr fontId="2" type="noConversion"/>
  </si>
  <si>
    <t>김정희</t>
    <phoneticPr fontId="2" type="noConversion"/>
  </si>
  <si>
    <t>064-728-4923</t>
    <phoneticPr fontId="2" type="noConversion"/>
  </si>
  <si>
    <t>제8회 월대천 축제</t>
    <phoneticPr fontId="2" type="noConversion"/>
  </si>
  <si>
    <t>월대천 일원</t>
    <phoneticPr fontId="2" type="noConversion"/>
  </si>
  <si>
    <t>1000명</t>
    <phoneticPr fontId="2" type="noConversion"/>
  </si>
  <si>
    <t>외도동주민자치위원회</t>
    <phoneticPr fontId="2" type="noConversion"/>
  </si>
  <si>
    <t>제주특별자치도 주민자치센터 설치,운영조례</t>
    <phoneticPr fontId="2" type="noConversion"/>
  </si>
  <si>
    <t>조혜정</t>
    <phoneticPr fontId="2" type="noConversion"/>
  </si>
  <si>
    <t>064-728-4892</t>
    <phoneticPr fontId="2" type="noConversion"/>
  </si>
  <si>
    <t>제7회 서귀포시 송산동 자구리축제</t>
    <phoneticPr fontId="2" type="noConversion"/>
  </si>
  <si>
    <t>7-8월 중(2일간)</t>
    <phoneticPr fontId="2" type="noConversion"/>
  </si>
  <si>
    <t>자구리공원</t>
    <phoneticPr fontId="2" type="noConversion"/>
  </si>
  <si>
    <t>400명</t>
    <phoneticPr fontId="2" type="noConversion"/>
  </si>
  <si>
    <t>강기석</t>
  </si>
  <si>
    <t>064-760-4502</t>
  </si>
  <si>
    <t>제14회 금능원담축제</t>
    <phoneticPr fontId="2" type="noConversion"/>
  </si>
  <si>
    <t>08.01~08.02</t>
    <phoneticPr fontId="2" type="noConversion"/>
  </si>
  <si>
    <t>금능해변</t>
    <phoneticPr fontId="2" type="noConversion"/>
  </si>
  <si>
    <t>제주시 한림읍</t>
    <phoneticPr fontId="2" type="noConversion"/>
  </si>
  <si>
    <t>이용재</t>
    <phoneticPr fontId="2" type="noConversion"/>
  </si>
  <si>
    <t>064-728-7674</t>
    <phoneticPr fontId="2" type="noConversion"/>
  </si>
  <si>
    <t>재20회 도두오래물축제</t>
    <phoneticPr fontId="2" type="noConversion"/>
  </si>
  <si>
    <t>08.12~08.14</t>
    <phoneticPr fontId="2" type="noConversion"/>
  </si>
  <si>
    <t>도두동</t>
    <phoneticPr fontId="2" type="noConversion"/>
  </si>
  <si>
    <t>25,000명</t>
    <phoneticPr fontId="2" type="noConversion"/>
  </si>
  <si>
    <t>도두오레물축제위원회</t>
    <phoneticPr fontId="2" type="noConversion"/>
  </si>
  <si>
    <t>고재희</t>
    <phoneticPr fontId="2" type="noConversion"/>
  </si>
  <si>
    <t>064-728-4961</t>
    <phoneticPr fontId="2" type="noConversion"/>
  </si>
  <si>
    <t>제1회 제주레저힐링축제</t>
    <phoneticPr fontId="2" type="noConversion"/>
  </si>
  <si>
    <t>문화예술 / 레저스포츠</t>
    <phoneticPr fontId="2" type="noConversion"/>
  </si>
  <si>
    <t>08.01.~11.30.</t>
    <phoneticPr fontId="2" type="noConversion"/>
  </si>
  <si>
    <r>
      <t xml:space="preserve">제주시 일원(주행사장 새별오름)
</t>
    </r>
    <r>
      <rPr>
        <sz val="9"/>
        <color theme="1"/>
        <rFont val="맑은 고딕"/>
        <family val="3"/>
        <charset val="129"/>
        <scheme val="minor"/>
      </rPr>
      <t>(주 행사장 새별오름)</t>
    </r>
    <phoneticPr fontId="2" type="noConversion"/>
  </si>
  <si>
    <t>송선유</t>
    <phoneticPr fontId="2" type="noConversion"/>
  </si>
  <si>
    <t>064-728-2757</t>
    <phoneticPr fontId="2" type="noConversion"/>
  </si>
  <si>
    <t>제18회 쇠소깍축제</t>
    <phoneticPr fontId="2" type="noConversion"/>
  </si>
  <si>
    <t>8월중(2일)</t>
    <phoneticPr fontId="2" type="noConversion"/>
  </si>
  <si>
    <t>쇠소깍</t>
    <phoneticPr fontId="2" type="noConversion"/>
  </si>
  <si>
    <t>2003년</t>
    <phoneticPr fontId="2" type="noConversion"/>
  </si>
  <si>
    <t>효돈동연합청년회</t>
    <phoneticPr fontId="2" type="noConversion"/>
  </si>
  <si>
    <t>제주특별자치도 축제육성 및 지원에 관한 조례 제14조제1호</t>
    <phoneticPr fontId="2" type="noConversion"/>
  </si>
  <si>
    <t>김행수</t>
    <phoneticPr fontId="2" type="noConversion"/>
  </si>
  <si>
    <t>064-760-4627</t>
    <phoneticPr fontId="2" type="noConversion"/>
  </si>
  <si>
    <t>제주성읍마을 전통민속재헌 축제</t>
    <phoneticPr fontId="2" type="noConversion"/>
  </si>
  <si>
    <t>성읍마을</t>
    <phoneticPr fontId="2" type="noConversion"/>
  </si>
  <si>
    <t>송성준</t>
    <phoneticPr fontId="2" type="noConversion"/>
  </si>
  <si>
    <t>064-710-6792</t>
    <phoneticPr fontId="2" type="noConversion"/>
  </si>
  <si>
    <t>제15회 제주해녀축제</t>
    <phoneticPr fontId="2" type="noConversion"/>
  </si>
  <si>
    <t>문화예술 / 전통역사 / 기타(주민화합 등)</t>
    <phoneticPr fontId="2" type="noConversion"/>
  </si>
  <si>
    <t>제주도 일원</t>
    <phoneticPr fontId="2" type="noConversion"/>
  </si>
  <si>
    <t>제주해녀축제추진위원회</t>
    <phoneticPr fontId="2" type="noConversion"/>
  </si>
  <si>
    <t>임의조직</t>
    <phoneticPr fontId="2" type="noConversion"/>
  </si>
  <si>
    <t>해녀문화 보존 및 전승에 관한 조례</t>
    <phoneticPr fontId="2" type="noConversion"/>
  </si>
  <si>
    <t>한재일</t>
    <phoneticPr fontId="2" type="noConversion"/>
  </si>
  <si>
    <t>064-710-3982</t>
    <phoneticPr fontId="2" type="noConversion"/>
  </si>
  <si>
    <t>제14회 추자도 참굴비 축제</t>
    <phoneticPr fontId="2" type="noConversion"/>
  </si>
  <si>
    <t>추자도 일원</t>
    <phoneticPr fontId="2" type="noConversion"/>
  </si>
  <si>
    <t>1,300명</t>
    <phoneticPr fontId="2" type="noConversion"/>
  </si>
  <si>
    <t>추자면축제추진위원회</t>
    <phoneticPr fontId="2" type="noConversion"/>
  </si>
  <si>
    <t>제12회 산지천 축제</t>
    <phoneticPr fontId="2" type="noConversion"/>
  </si>
  <si>
    <t>산지천 일대</t>
    <phoneticPr fontId="2" type="noConversion"/>
  </si>
  <si>
    <t>산지천축제위원회</t>
    <phoneticPr fontId="2" type="noConversion"/>
  </si>
  <si>
    <t>제주특별자치도 축제 육성 및 지원에 관한 조례</t>
    <phoneticPr fontId="2" type="noConversion"/>
  </si>
  <si>
    <t xml:space="preserve">홍혜민 </t>
    <phoneticPr fontId="2" type="noConversion"/>
  </si>
  <si>
    <t>064-728-4655</t>
    <phoneticPr fontId="2" type="noConversion"/>
  </si>
  <si>
    <t>제6회 화북동 4.3역사 및 유배길 걸을락(樂) 축제</t>
    <phoneticPr fontId="2" type="noConversion"/>
  </si>
  <si>
    <t>화북청소년문화의집</t>
    <phoneticPr fontId="2" type="noConversion"/>
  </si>
  <si>
    <t>화북동축제추진위원회</t>
    <phoneticPr fontId="2" type="noConversion"/>
  </si>
  <si>
    <t>현용호</t>
    <phoneticPr fontId="2" type="noConversion"/>
  </si>
  <si>
    <t>064-728-4682</t>
    <phoneticPr fontId="2" type="noConversion"/>
  </si>
  <si>
    <t>제7회 고마로마문화축제</t>
    <phoneticPr fontId="2" type="noConversion"/>
  </si>
  <si>
    <t>10.07.~10.08.</t>
    <phoneticPr fontId="2" type="noConversion"/>
  </si>
  <si>
    <t>고마로 및 신산공원</t>
    <phoneticPr fontId="2" type="noConversion"/>
  </si>
  <si>
    <t>2,900명</t>
    <phoneticPr fontId="2" type="noConversion"/>
  </si>
  <si>
    <t>고마로마문화축제위원회</t>
    <phoneticPr fontId="2" type="noConversion"/>
  </si>
  <si>
    <t>강경표</t>
    <phoneticPr fontId="2" type="noConversion"/>
  </si>
  <si>
    <t>064-728-4442</t>
    <phoneticPr fontId="2" type="noConversion"/>
  </si>
  <si>
    <t>제6회 제주광어 대축제</t>
    <phoneticPr fontId="2" type="noConversion"/>
  </si>
  <si>
    <t>제주시민복지타운</t>
    <phoneticPr fontId="2" type="noConversion"/>
  </si>
  <si>
    <t>제주광어대축제추진위원회</t>
    <phoneticPr fontId="2" type="noConversion"/>
  </si>
  <si>
    <t>윤정환</t>
    <phoneticPr fontId="2" type="noConversion"/>
  </si>
  <si>
    <t>064-710-3242</t>
    <phoneticPr fontId="2" type="noConversion"/>
  </si>
  <si>
    <t>제6회 FPC 한수위 수산물 대축제</t>
    <phoneticPr fontId="2" type="noConversion"/>
  </si>
  <si>
    <t>한림수협다목적어업인종합지원센터 일대</t>
    <phoneticPr fontId="2" type="noConversion"/>
  </si>
  <si>
    <t>FPC한수위수산물대축제추진위원회</t>
    <phoneticPr fontId="2" type="noConversion"/>
  </si>
  <si>
    <t>정진우</t>
    <phoneticPr fontId="2" type="noConversion"/>
  </si>
  <si>
    <t>064-710-3246</t>
    <phoneticPr fontId="2" type="noConversion"/>
  </si>
  <si>
    <t>제28회 서귀포칠십리축제</t>
    <phoneticPr fontId="2" type="noConversion"/>
  </si>
  <si>
    <r>
      <t xml:space="preserve">5,941명
</t>
    </r>
    <r>
      <rPr>
        <sz val="8"/>
        <color theme="1"/>
        <rFont val="맑은 고딕"/>
        <family val="3"/>
        <charset val="129"/>
        <scheme val="minor"/>
      </rPr>
      <t>(현장+온라인 시청)</t>
    </r>
    <phoneticPr fontId="2" type="noConversion"/>
  </si>
  <si>
    <t>2022 중문칠선녀축제</t>
    <phoneticPr fontId="2" type="noConversion"/>
  </si>
  <si>
    <t>중문천제연폭포 일원</t>
    <phoneticPr fontId="2" type="noConversion"/>
  </si>
  <si>
    <t>김대응</t>
    <phoneticPr fontId="2" type="noConversion"/>
  </si>
  <si>
    <t>064-760-4824</t>
    <phoneticPr fontId="2" type="noConversion"/>
  </si>
  <si>
    <t>2022 봉개 오름축제</t>
    <phoneticPr fontId="2" type="noConversion"/>
  </si>
  <si>
    <t>봉개동 제주4.3평화공원 맞은편</t>
    <phoneticPr fontId="2" type="noConversion"/>
  </si>
  <si>
    <t>봉개동축제추진위원회</t>
    <phoneticPr fontId="2" type="noConversion"/>
  </si>
  <si>
    <t>이명기</t>
    <phoneticPr fontId="2" type="noConversion"/>
  </si>
  <si>
    <t>064-728-4741</t>
    <phoneticPr fontId="2" type="noConversion"/>
  </si>
  <si>
    <t>제주시</t>
  </si>
  <si>
    <t>제9회 삼도풍류축제</t>
  </si>
  <si>
    <t>관덕정 및 목관아지 일대</t>
  </si>
  <si>
    <t>860명</t>
    <phoneticPr fontId="2" type="noConversion"/>
  </si>
  <si>
    <t>96명</t>
    <phoneticPr fontId="2" type="noConversion"/>
  </si>
  <si>
    <t>삼도2동주민센터
삼도풍류축제추진위원회</t>
    <phoneticPr fontId="2" type="noConversion"/>
  </si>
  <si>
    <t>이주명</t>
    <phoneticPr fontId="2" type="noConversion"/>
  </si>
  <si>
    <t>064-728-4562</t>
    <phoneticPr fontId="2" type="noConversion"/>
  </si>
  <si>
    <t>제21회 최남단 방어축제</t>
    <phoneticPr fontId="2" type="noConversion"/>
  </si>
  <si>
    <t>모슬포항 일원</t>
    <phoneticPr fontId="2" type="noConversion"/>
  </si>
  <si>
    <t>최남단방어축제위원회</t>
    <phoneticPr fontId="2" type="noConversion"/>
  </si>
  <si>
    <t>제12회 백난아가요제</t>
    <phoneticPr fontId="2" type="noConversion"/>
  </si>
  <si>
    <t>49명</t>
    <phoneticPr fontId="2" type="noConversion"/>
  </si>
  <si>
    <t>양승호</t>
    <phoneticPr fontId="2" type="noConversion"/>
  </si>
  <si>
    <t>064-728-7613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</si>
</sst>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  <numFmt numFmtId="179" formatCode="General&quot;년&quot;"/>
    <numFmt numFmtId="180" formatCode="General&quot;명&quot;"/>
  </numFmts>
  <fonts count="5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HY중고딕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111111"/>
      <name val="맑은 고딕"/>
      <family val="3"/>
      <charset val="129"/>
      <scheme val="minor"/>
    </font>
    <font>
      <b/>
      <sz val="11"/>
      <color rgb="FF444444"/>
      <name val="맑은 고딕"/>
      <family val="3"/>
      <charset val="129"/>
      <scheme val="minor"/>
    </font>
    <font>
      <sz val="11"/>
      <color rgb="FF1C1C1C"/>
      <name val="맑은 고딕"/>
      <family val="3"/>
      <charset val="129"/>
      <scheme val="major"/>
    </font>
    <font>
      <sz val="11"/>
      <color theme="1"/>
      <name val="HY중고딕"/>
      <family val="1"/>
      <charset val="129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11"/>
      <color rgb="FF28282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theme="1"/>
      <name val="굴림체"/>
      <family val="3"/>
      <charset val="129"/>
    </font>
    <font>
      <sz val="11"/>
      <color rgb="FF00B0F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HY중고딕"/>
      <family val="1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00B0F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2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6" borderId="1" xfId="3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 shrinkToFit="1"/>
    </xf>
    <xf numFmtId="0" fontId="6" fillId="0" borderId="1" xfId="1" applyNumberFormat="1" applyFont="1" applyBorder="1" applyAlignment="1">
      <alignment horizontal="center" vertical="center" shrinkToFit="1"/>
    </xf>
    <xf numFmtId="3" fontId="6" fillId="0" borderId="1" xfId="1" applyNumberFormat="1" applyFont="1" applyBorder="1" applyAlignment="1">
      <alignment horizontal="center" vertical="center" shrinkToFit="1"/>
    </xf>
    <xf numFmtId="3" fontId="6" fillId="0" borderId="1" xfId="0" applyNumberFormat="1" applyFont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 shrinkToFit="1"/>
    </xf>
    <xf numFmtId="0" fontId="6" fillId="0" borderId="1" xfId="0" quotePrefix="1" applyFont="1" applyBorder="1" applyAlignment="1">
      <alignment horizontal="center" vertical="center" shrinkToFit="1"/>
    </xf>
    <xf numFmtId="0" fontId="8" fillId="0" borderId="1" xfId="1" applyNumberFormat="1" applyFont="1" applyBorder="1" applyAlignment="1">
      <alignment horizontal="center" vertical="center" shrinkToFit="1"/>
    </xf>
    <xf numFmtId="3" fontId="8" fillId="0" borderId="1" xfId="1" applyNumberFormat="1" applyFont="1" applyBorder="1" applyAlignment="1">
      <alignment horizontal="center" vertical="center" shrinkToFit="1"/>
    </xf>
    <xf numFmtId="0" fontId="8" fillId="6" borderId="1" xfId="0" quotePrefix="1" applyFont="1" applyFill="1" applyBorder="1" applyAlignment="1">
      <alignment horizontal="center" vertical="center" shrinkToFit="1"/>
    </xf>
    <xf numFmtId="0" fontId="8" fillId="6" borderId="1" xfId="1" applyNumberFormat="1" applyFont="1" applyFill="1" applyBorder="1" applyAlignment="1">
      <alignment horizontal="center" vertical="center" shrinkToFit="1"/>
    </xf>
    <xf numFmtId="41" fontId="8" fillId="0" borderId="1" xfId="1" applyFont="1" applyBorder="1" applyAlignment="1">
      <alignment horizontal="center" vertical="center" shrinkToFit="1"/>
    </xf>
    <xf numFmtId="3" fontId="8" fillId="0" borderId="1" xfId="0" applyNumberFormat="1" applyFont="1" applyBorder="1" applyAlignment="1">
      <alignment horizontal="center" vertical="center" shrinkToFit="1"/>
    </xf>
    <xf numFmtId="0" fontId="0" fillId="0" borderId="1" xfId="1" applyNumberFormat="1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3" fontId="0" fillId="0" borderId="1" xfId="0" applyNumberFormat="1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3" fontId="6" fillId="0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41" fontId="6" fillId="0" borderId="1" xfId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shrinkToFit="1"/>
    </xf>
    <xf numFmtId="176" fontId="6" fillId="0" borderId="1" xfId="1" applyNumberFormat="1" applyFont="1" applyBorder="1" applyAlignment="1">
      <alignment horizontal="center" vertical="center" shrinkToFit="1"/>
    </xf>
    <xf numFmtId="177" fontId="0" fillId="0" borderId="1" xfId="0" applyNumberFormat="1" applyFont="1" applyBorder="1" applyAlignment="1">
      <alignment horizontal="center" vertical="center" shrinkToFit="1"/>
    </xf>
    <xf numFmtId="177" fontId="6" fillId="0" borderId="1" xfId="0" applyNumberFormat="1" applyFont="1" applyBorder="1" applyAlignment="1">
      <alignment horizontal="center" vertical="center" shrinkToFit="1"/>
    </xf>
    <xf numFmtId="0" fontId="7" fillId="0" borderId="1" xfId="1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77" fontId="8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vertical="center" shrinkToFit="1"/>
    </xf>
    <xf numFmtId="177" fontId="0" fillId="0" borderId="1" xfId="1" applyNumberFormat="1" applyFont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180" fontId="6" fillId="0" borderId="1" xfId="0" applyNumberFormat="1" applyFont="1" applyBorder="1" applyAlignment="1">
      <alignment horizontal="center" vertical="center" shrinkToFit="1"/>
    </xf>
    <xf numFmtId="180" fontId="6" fillId="0" borderId="1" xfId="0" applyNumberFormat="1" applyFont="1" applyFill="1" applyBorder="1" applyAlignment="1">
      <alignment horizontal="center" vertical="center" shrinkToFit="1"/>
    </xf>
    <xf numFmtId="177" fontId="6" fillId="0" borderId="1" xfId="0" applyNumberFormat="1" applyFont="1" applyFill="1" applyBorder="1" applyAlignment="1">
      <alignment horizontal="center" vertical="center" shrinkToFit="1"/>
    </xf>
    <xf numFmtId="41" fontId="6" fillId="0" borderId="1" xfId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177" fontId="6" fillId="0" borderId="1" xfId="1" applyNumberFormat="1" applyFont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left" vertical="center" shrinkToFit="1"/>
    </xf>
    <xf numFmtId="41" fontId="6" fillId="6" borderId="1" xfId="1" applyFont="1" applyFill="1" applyBorder="1" applyAlignment="1">
      <alignment horizontal="right" vertical="center" shrinkToFit="1"/>
    </xf>
    <xf numFmtId="41" fontId="6" fillId="6" borderId="1" xfId="1" quotePrefix="1" applyFont="1" applyFill="1" applyBorder="1" applyAlignment="1">
      <alignment horizontal="right" vertical="center" shrinkToFit="1"/>
    </xf>
    <xf numFmtId="0" fontId="6" fillId="6" borderId="1" xfId="0" quotePrefix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center" shrinkToFit="1"/>
    </xf>
    <xf numFmtId="41" fontId="6" fillId="0" borderId="1" xfId="1" applyFont="1" applyBorder="1" applyAlignment="1">
      <alignment horizontal="right" vertical="center" shrinkToFit="1"/>
    </xf>
    <xf numFmtId="0" fontId="0" fillId="6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left" vertical="center" shrinkToFit="1"/>
    </xf>
    <xf numFmtId="41" fontId="0" fillId="0" borderId="1" xfId="1" applyFont="1" applyBorder="1" applyAlignment="1">
      <alignment horizontal="right" vertical="center" shrinkToFit="1"/>
    </xf>
    <xf numFmtId="41" fontId="0" fillId="6" borderId="1" xfId="1" applyFont="1" applyFill="1" applyBorder="1" applyAlignment="1">
      <alignment horizontal="right" vertical="center" shrinkToFit="1"/>
    </xf>
    <xf numFmtId="0" fontId="23" fillId="6" borderId="1" xfId="0" applyFont="1" applyFill="1" applyBorder="1" applyAlignment="1">
      <alignment horizontal="left" vertical="center" shrinkToFit="1"/>
    </xf>
    <xf numFmtId="41" fontId="0" fillId="0" borderId="1" xfId="1" quotePrefix="1" applyFont="1" applyBorder="1" applyAlignment="1">
      <alignment horizontal="right" vertical="center" shrinkToFit="1"/>
    </xf>
    <xf numFmtId="0" fontId="0" fillId="0" borderId="1" xfId="0" quotePrefix="1" applyFont="1" applyBorder="1" applyAlignment="1">
      <alignment horizontal="left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horizontal="left" vertical="center" shrinkToFit="1"/>
    </xf>
    <xf numFmtId="41" fontId="6" fillId="0" borderId="1" xfId="1" applyFont="1" applyFill="1" applyBorder="1" applyAlignment="1">
      <alignment horizontal="right" vertical="center" shrinkToFit="1"/>
    </xf>
    <xf numFmtId="0" fontId="29" fillId="0" borderId="1" xfId="0" applyFont="1" applyFill="1" applyBorder="1" applyAlignment="1">
      <alignment horizontal="left" vertical="center" shrinkToFit="1"/>
    </xf>
    <xf numFmtId="0" fontId="29" fillId="0" borderId="1" xfId="6" applyNumberFormat="1" applyFont="1" applyFill="1" applyBorder="1" applyAlignment="1">
      <alignment horizontal="left" vertical="center" shrinkToFit="1"/>
    </xf>
    <xf numFmtId="0" fontId="0" fillId="6" borderId="1" xfId="0" applyFont="1" applyFill="1" applyBorder="1" applyAlignment="1">
      <alignment horizontal="left" vertical="center" shrinkToFit="1"/>
    </xf>
    <xf numFmtId="41" fontId="6" fillId="0" borderId="1" xfId="1" quotePrefix="1" applyFont="1" applyBorder="1" applyAlignment="1">
      <alignment horizontal="right" vertical="center" shrinkToFit="1"/>
    </xf>
    <xf numFmtId="0" fontId="6" fillId="6" borderId="1" xfId="0" applyFont="1" applyFill="1" applyBorder="1" applyAlignment="1">
      <alignment horizontal="right"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11" fillId="6" borderId="1" xfId="0" applyFont="1" applyFill="1" applyBorder="1" applyAlignment="1">
      <alignment horizontal="center" vertical="center" shrinkToFit="1"/>
    </xf>
    <xf numFmtId="41" fontId="0" fillId="0" borderId="1" xfId="1" applyFont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shrinkToFit="1"/>
    </xf>
    <xf numFmtId="41" fontId="7" fillId="0" borderId="1" xfId="1" applyFont="1" applyBorder="1" applyAlignment="1">
      <alignment horizontal="center" vertical="center" shrinkToFit="1"/>
    </xf>
    <xf numFmtId="0" fontId="0" fillId="0" borderId="1" xfId="0" applyFont="1" applyBorder="1" applyAlignment="1">
      <alignment horizontal="right" vertical="center" shrinkToFit="1"/>
    </xf>
    <xf numFmtId="0" fontId="0" fillId="6" borderId="1" xfId="0" applyFont="1" applyFill="1" applyBorder="1" applyAlignment="1">
      <alignment horizontal="right" vertical="center" shrinkToFit="1"/>
    </xf>
    <xf numFmtId="0" fontId="6" fillId="0" borderId="1" xfId="0" applyFont="1" applyBorder="1" applyAlignment="1">
      <alignment horizontal="right" vertical="center" shrinkToFit="1"/>
    </xf>
    <xf numFmtId="0" fontId="12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41" fontId="0" fillId="0" borderId="1" xfId="2" applyFont="1" applyBorder="1" applyAlignment="1">
      <alignment vertical="center" shrinkToFit="1"/>
    </xf>
    <xf numFmtId="41" fontId="0" fillId="0" borderId="1" xfId="2" applyFont="1" applyBorder="1" applyAlignment="1">
      <alignment horizontal="right" vertical="center" shrinkToFit="1"/>
    </xf>
    <xf numFmtId="41" fontId="6" fillId="0" borderId="1" xfId="2" applyFont="1" applyBorder="1" applyAlignment="1">
      <alignment horizontal="right" vertical="center" shrinkToFit="1"/>
    </xf>
    <xf numFmtId="0" fontId="0" fillId="0" borderId="1" xfId="0" applyFont="1" applyBorder="1" applyAlignment="1">
      <alignment vertical="center" shrinkToFit="1"/>
    </xf>
    <xf numFmtId="41" fontId="0" fillId="0" borderId="1" xfId="2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shrinkToFit="1"/>
    </xf>
    <xf numFmtId="41" fontId="0" fillId="0" borderId="1" xfId="2" applyFont="1" applyFill="1" applyBorder="1" applyAlignment="1">
      <alignment horizontal="right" vertical="center" shrinkToFit="1"/>
    </xf>
    <xf numFmtId="0" fontId="6" fillId="0" borderId="1" xfId="0" applyFont="1" applyFill="1" applyBorder="1" applyAlignment="1">
      <alignment horizontal="right" vertical="center" shrinkToFit="1"/>
    </xf>
    <xf numFmtId="3" fontId="7" fillId="0" borderId="1" xfId="0" applyNumberFormat="1" applyFont="1" applyBorder="1" applyAlignment="1">
      <alignment horizontal="center" vertical="center" shrinkToFit="1"/>
    </xf>
    <xf numFmtId="41" fontId="11" fillId="6" borderId="1" xfId="1" applyFont="1" applyFill="1" applyBorder="1" applyAlignment="1">
      <alignment horizontal="center" vertical="center" shrinkToFit="1"/>
    </xf>
    <xf numFmtId="0" fontId="23" fillId="6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right" vertical="center" shrinkToFit="1"/>
    </xf>
    <xf numFmtId="41" fontId="8" fillId="0" borderId="1" xfId="1" applyFont="1" applyBorder="1" applyAlignment="1">
      <alignment horizontal="right" vertical="center" shrinkToFit="1"/>
    </xf>
    <xf numFmtId="41" fontId="8" fillId="6" borderId="1" xfId="1" applyFont="1" applyFill="1" applyBorder="1" applyAlignment="1">
      <alignment horizontal="center" vertical="center" shrinkToFit="1"/>
    </xf>
    <xf numFmtId="41" fontId="0" fillId="0" borderId="1" xfId="0" applyNumberFormat="1" applyFont="1" applyBorder="1" applyAlignment="1">
      <alignment horizontal="right" vertical="center" shrinkToFit="1"/>
    </xf>
    <xf numFmtId="41" fontId="7" fillId="0" borderId="1" xfId="1" applyNumberFormat="1" applyFont="1" applyBorder="1" applyAlignment="1">
      <alignment horizontal="right" vertical="center" shrinkToFit="1"/>
    </xf>
    <xf numFmtId="41" fontId="7" fillId="0" borderId="1" xfId="1" applyFont="1" applyBorder="1" applyAlignment="1">
      <alignment horizontal="right" vertical="center" shrinkToFit="1"/>
    </xf>
    <xf numFmtId="41" fontId="7" fillId="6" borderId="1" xfId="1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right" vertical="center" shrinkToFit="1"/>
    </xf>
    <xf numFmtId="3" fontId="0" fillId="0" borderId="1" xfId="0" applyNumberFormat="1" applyFont="1" applyFill="1" applyBorder="1" applyAlignment="1">
      <alignment horizontal="center" vertical="center" shrinkToFit="1"/>
    </xf>
    <xf numFmtId="3" fontId="0" fillId="6" borderId="1" xfId="0" applyNumberFormat="1" applyFont="1" applyFill="1" applyBorder="1" applyAlignment="1">
      <alignment horizontal="center" vertical="center" shrinkToFit="1"/>
    </xf>
    <xf numFmtId="3" fontId="7" fillId="0" borderId="1" xfId="0" applyNumberFormat="1" applyFont="1" applyBorder="1" applyAlignment="1">
      <alignment horizontal="right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right" vertical="center" shrinkToFit="1"/>
    </xf>
    <xf numFmtId="0" fontId="7" fillId="6" borderId="1" xfId="0" applyFont="1" applyFill="1" applyBorder="1" applyAlignment="1">
      <alignment horizontal="center" vertical="center" shrinkToFit="1"/>
    </xf>
    <xf numFmtId="0" fontId="7" fillId="0" borderId="1" xfId="0" quotePrefix="1" applyFont="1" applyFill="1" applyBorder="1" applyAlignment="1">
      <alignment horizontal="center" vertical="center" shrinkToFit="1"/>
    </xf>
    <xf numFmtId="177" fontId="6" fillId="0" borderId="1" xfId="0" quotePrefix="1" applyNumberFormat="1" applyFont="1" applyBorder="1" applyAlignment="1">
      <alignment horizontal="center" vertical="center" shrinkToFit="1"/>
    </xf>
    <xf numFmtId="41" fontId="6" fillId="6" borderId="1" xfId="1" applyFont="1" applyFill="1" applyBorder="1" applyAlignment="1">
      <alignment horizontal="center" vertical="center" shrinkToFit="1"/>
    </xf>
    <xf numFmtId="177" fontId="8" fillId="6" borderId="1" xfId="0" applyNumberFormat="1" applyFont="1" applyFill="1" applyBorder="1" applyAlignment="1">
      <alignment horizontal="center" vertical="center" shrinkToFit="1"/>
    </xf>
    <xf numFmtId="177" fontId="6" fillId="6" borderId="1" xfId="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top" shrinkToFit="1"/>
    </xf>
    <xf numFmtId="41" fontId="0" fillId="6" borderId="1" xfId="1" applyFont="1" applyFill="1" applyBorder="1" applyAlignment="1">
      <alignment horizontal="center" vertical="center" shrinkToFit="1"/>
    </xf>
    <xf numFmtId="3" fontId="6" fillId="6" borderId="1" xfId="0" applyNumberFormat="1" applyFont="1" applyFill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0" fontId="23" fillId="6" borderId="1" xfId="0" applyFont="1" applyFill="1" applyBorder="1" applyAlignment="1">
      <alignment horizontal="right" vertical="center" shrinkToFit="1"/>
    </xf>
    <xf numFmtId="0" fontId="6" fillId="6" borderId="1" xfId="4" applyFont="1" applyFill="1" applyBorder="1" applyAlignment="1">
      <alignment horizontal="center" vertical="center" shrinkToFit="1"/>
    </xf>
    <xf numFmtId="0" fontId="30" fillId="0" borderId="1" xfId="5" applyFont="1" applyFill="1" applyBorder="1" applyAlignment="1">
      <alignment horizontal="left" vertical="center" shrinkToFit="1"/>
    </xf>
    <xf numFmtId="0" fontId="0" fillId="4" borderId="1" xfId="0" applyFill="1" applyBorder="1" applyAlignment="1">
      <alignment vertical="center"/>
    </xf>
    <xf numFmtId="0" fontId="0" fillId="6" borderId="1" xfId="0" applyFont="1" applyFill="1" applyBorder="1" applyAlignment="1">
      <alignment vertical="center" shrinkToFit="1"/>
    </xf>
    <xf numFmtId="0" fontId="7" fillId="0" borderId="1" xfId="0" applyFont="1" applyBorder="1" applyAlignment="1">
      <alignment vertical="center" shrinkToFit="1"/>
    </xf>
    <xf numFmtId="0" fontId="13" fillId="0" borderId="1" xfId="0" applyFont="1" applyBorder="1" applyAlignment="1">
      <alignment vertical="center" shrinkToFit="1"/>
    </xf>
    <xf numFmtId="0" fontId="8" fillId="6" borderId="1" xfId="3" applyFont="1" applyFill="1" applyBorder="1" applyAlignment="1">
      <alignment vertical="center" shrinkToFit="1"/>
    </xf>
    <xf numFmtId="0" fontId="8" fillId="6" borderId="1" xfId="0" applyFont="1" applyFill="1" applyBorder="1" applyAlignment="1">
      <alignment vertical="center" shrinkToFit="1"/>
    </xf>
    <xf numFmtId="0" fontId="6" fillId="0" borderId="1" xfId="0" quotePrefix="1" applyFont="1" applyBorder="1" applyAlignment="1">
      <alignment vertical="center" shrinkToFit="1"/>
    </xf>
    <xf numFmtId="0" fontId="8" fillId="6" borderId="1" xfId="0" quotePrefix="1" applyFont="1" applyFill="1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vertical="top" shrinkToFit="1"/>
    </xf>
    <xf numFmtId="0" fontId="0" fillId="0" borderId="1" xfId="0" applyNumberFormat="1" applyFont="1" applyBorder="1" applyAlignment="1">
      <alignment vertical="center" shrinkToFit="1"/>
    </xf>
    <xf numFmtId="0" fontId="0" fillId="0" borderId="1" xfId="0" quotePrefix="1" applyFont="1" applyBorder="1" applyAlignment="1">
      <alignment vertical="center" shrinkToFit="1"/>
    </xf>
    <xf numFmtId="41" fontId="8" fillId="0" borderId="1" xfId="1" applyFont="1" applyBorder="1" applyAlignment="1">
      <alignment vertical="center" shrinkToFit="1"/>
    </xf>
    <xf numFmtId="0" fontId="8" fillId="0" borderId="1" xfId="1" applyNumberFormat="1" applyFont="1" applyBorder="1" applyAlignment="1">
      <alignment vertical="center" shrinkToFit="1"/>
    </xf>
    <xf numFmtId="0" fontId="8" fillId="0" borderId="1" xfId="0" applyFont="1" applyFill="1" applyBorder="1" applyAlignment="1">
      <alignment vertical="center" shrinkToFit="1"/>
    </xf>
    <xf numFmtId="0" fontId="12" fillId="0" borderId="1" xfId="0" applyFont="1" applyBorder="1" applyAlignment="1">
      <alignment vertical="center" shrinkToFit="1"/>
    </xf>
    <xf numFmtId="0" fontId="7" fillId="0" borderId="1" xfId="0" applyFont="1" applyFill="1" applyBorder="1" applyAlignment="1">
      <alignment vertical="center" shrinkToFit="1"/>
    </xf>
    <xf numFmtId="0" fontId="6" fillId="6" borderId="1" xfId="0" applyFont="1" applyFill="1" applyBorder="1" applyAlignment="1">
      <alignment vertical="center" shrinkToFit="1"/>
    </xf>
    <xf numFmtId="0" fontId="6" fillId="6" borderId="1" xfId="0" quotePrefix="1" applyFont="1" applyFill="1" applyBorder="1" applyAlignment="1">
      <alignment vertical="center" shrinkToFit="1"/>
    </xf>
    <xf numFmtId="0" fontId="28" fillId="0" borderId="1" xfId="0" applyFont="1" applyFill="1" applyBorder="1" applyAlignment="1">
      <alignment vertical="center" shrinkToFit="1"/>
    </xf>
    <xf numFmtId="49" fontId="6" fillId="0" borderId="1" xfId="0" applyNumberFormat="1" applyFont="1" applyBorder="1" applyAlignment="1">
      <alignment vertical="center" shrinkToFi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0" fontId="8" fillId="0" borderId="1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6" fontId="8" fillId="0" borderId="2" xfId="0" applyNumberFormat="1" applyFont="1" applyBorder="1" applyAlignment="1">
      <alignment horizontal="center" vertical="center" shrinkToFit="1"/>
    </xf>
    <xf numFmtId="0" fontId="8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1" xfId="0" quotePrefix="1" applyFont="1" applyBorder="1" applyAlignment="1">
      <alignment horizontal="center" vertical="center" shrinkToFit="1"/>
    </xf>
    <xf numFmtId="176" fontId="6" fillId="6" borderId="1" xfId="0" applyNumberFormat="1" applyFont="1" applyFill="1" applyBorder="1" applyAlignment="1">
      <alignment horizontal="center" vertical="center" shrinkToFit="1"/>
    </xf>
    <xf numFmtId="0" fontId="8" fillId="6" borderId="1" xfId="0" applyNumberFormat="1" applyFont="1" applyFill="1" applyBorder="1" applyAlignment="1">
      <alignment horizontal="center" vertical="center" shrinkToFit="1"/>
    </xf>
    <xf numFmtId="176" fontId="8" fillId="0" borderId="1" xfId="0" applyNumberFormat="1" applyFont="1" applyFill="1" applyBorder="1" applyAlignment="1">
      <alignment horizontal="center" vertical="center" shrinkToFit="1"/>
    </xf>
    <xf numFmtId="0" fontId="8" fillId="0" borderId="1" xfId="1" applyNumberFormat="1" applyFont="1" applyFill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vertical="center" wrapText="1" shrinkToFit="1"/>
    </xf>
    <xf numFmtId="0" fontId="8" fillId="0" borderId="1" xfId="0" applyNumberFormat="1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 shrinkToFit="1"/>
    </xf>
    <xf numFmtId="0" fontId="6" fillId="7" borderId="1" xfId="0" applyFont="1" applyFill="1" applyBorder="1" applyAlignment="1">
      <alignment horizontal="center" vertical="center" shrinkToFit="1"/>
    </xf>
    <xf numFmtId="176" fontId="6" fillId="0" borderId="1" xfId="0" applyNumberFormat="1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 wrapText="1" shrinkToFit="1"/>
    </xf>
    <xf numFmtId="0" fontId="6" fillId="0" borderId="3" xfId="0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3" fillId="6" borderId="1" xfId="0" applyFont="1" applyFill="1" applyBorder="1" applyAlignment="1">
      <alignment horizontal="left" vertical="center" shrinkToFit="1"/>
    </xf>
    <xf numFmtId="177" fontId="32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center" shrinkToFit="1"/>
    </xf>
    <xf numFmtId="0" fontId="35" fillId="0" borderId="1" xfId="0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7" fontId="37" fillId="0" borderId="1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left" vertical="center" shrinkToFit="1"/>
    </xf>
    <xf numFmtId="0" fontId="33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8" fillId="6" borderId="5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left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178" fontId="38" fillId="6" borderId="1" xfId="0" quotePrefix="1" applyNumberFormat="1" applyFont="1" applyFill="1" applyBorder="1" applyAlignment="1">
      <alignment horizontal="center" vertical="center" wrapText="1"/>
    </xf>
    <xf numFmtId="177" fontId="38" fillId="6" borderId="1" xfId="0" applyNumberFormat="1" applyFont="1" applyFill="1" applyBorder="1" applyAlignment="1">
      <alignment horizontal="center" vertical="center" shrinkToFit="1"/>
    </xf>
    <xf numFmtId="178" fontId="38" fillId="6" borderId="1" xfId="0" applyNumberFormat="1" applyFont="1" applyFill="1" applyBorder="1" applyAlignment="1">
      <alignment horizontal="center" vertical="center" shrinkToFit="1"/>
    </xf>
    <xf numFmtId="178" fontId="38" fillId="6" borderId="1" xfId="0" applyNumberFormat="1" applyFont="1" applyFill="1" applyBorder="1" applyAlignment="1">
      <alignment horizontal="left" vertical="center" shrinkToFit="1"/>
    </xf>
    <xf numFmtId="0" fontId="38" fillId="6" borderId="1" xfId="0" applyFont="1" applyFill="1" applyBorder="1" applyAlignment="1">
      <alignment horizontal="center" vertical="center" shrinkToFit="1"/>
    </xf>
    <xf numFmtId="3" fontId="38" fillId="6" borderId="1" xfId="0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shrinkToFit="1"/>
    </xf>
    <xf numFmtId="0" fontId="41" fillId="6" borderId="6" xfId="0" applyFont="1" applyFill="1" applyBorder="1" applyAlignment="1">
      <alignment horizontal="left" vertical="center" shrinkToFit="1"/>
    </xf>
    <xf numFmtId="0" fontId="40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shrinkToFit="1"/>
    </xf>
    <xf numFmtId="177" fontId="7" fillId="0" borderId="4" xfId="1" applyNumberFormat="1" applyFont="1" applyBorder="1" applyAlignment="1">
      <alignment horizontal="center" vertical="center" shrinkToFit="1"/>
    </xf>
    <xf numFmtId="0" fontId="7" fillId="0" borderId="7" xfId="1" applyNumberFormat="1" applyFont="1" applyBorder="1" applyAlignment="1">
      <alignment horizontal="center" vertical="center" shrinkToFit="1"/>
    </xf>
    <xf numFmtId="177" fontId="0" fillId="0" borderId="1" xfId="0" applyNumberForma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shrinkToFit="1"/>
    </xf>
    <xf numFmtId="3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shrinkToFit="1"/>
    </xf>
    <xf numFmtId="0" fontId="11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shrinkToFit="1"/>
    </xf>
    <xf numFmtId="3" fontId="0" fillId="0" borderId="1" xfId="0" applyNumberFormat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0" fontId="23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 shrinkToFit="1"/>
    </xf>
    <xf numFmtId="0" fontId="8" fillId="6" borderId="1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shrinkToFit="1"/>
    </xf>
    <xf numFmtId="0" fontId="33" fillId="6" borderId="1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shrinkToFit="1"/>
    </xf>
    <xf numFmtId="0" fontId="43" fillId="0" borderId="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" xfId="0" applyNumberFormat="1" applyFont="1" applyBorder="1" applyAlignment="1" applyProtection="1">
      <alignment horizontal="center" vertical="center" shrinkToFit="1"/>
      <protection locked="0"/>
    </xf>
    <xf numFmtId="41" fontId="6" fillId="0" borderId="1" xfId="1" applyFont="1" applyBorder="1" applyAlignment="1">
      <alignment vertical="center" shrinkToFit="1"/>
    </xf>
    <xf numFmtId="41" fontId="6" fillId="0" borderId="7" xfId="1" applyFont="1" applyBorder="1" applyAlignment="1">
      <alignment vertical="center" shrinkToFi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0" fontId="6" fillId="0" borderId="7" xfId="0" applyFont="1" applyBorder="1" applyAlignment="1">
      <alignment horizontal="center" vertical="center" shrinkToFit="1"/>
    </xf>
    <xf numFmtId="0" fontId="0" fillId="0" borderId="1" xfId="0" quotePrefix="1" applyNumberForma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0" fillId="0" borderId="1" xfId="7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8">
    <cellStyle name="경고문" xfId="7" builtinId="11"/>
    <cellStyle name="쉼표 [0]" xfId="1" builtinId="6"/>
    <cellStyle name="쉼표 [0] 2" xfId="2" xr:uid="{F947E561-B3A7-416F-ADB2-EF3916C0090F}"/>
    <cellStyle name="표준" xfId="0" builtinId="0"/>
    <cellStyle name="표준 11" xfId="6" xr:uid="{8FD626C1-FF65-4EAC-9911-298D8001FD9A}"/>
    <cellStyle name="표준 13" xfId="3" xr:uid="{48B3A196-E016-4607-A130-7CC456FCA165}"/>
    <cellStyle name="표준 19" xfId="5" xr:uid="{154E7C46-6C98-462D-ACC5-67C2EC27C1CA}"/>
    <cellStyle name="표준 4" xfId="4" xr:uid="{85BE1D78-1C35-4D4B-AE7A-F1B570959A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5159-9E28-4290-8489-BFDC412A190F}">
  <dimension ref="B2:S22"/>
  <sheetViews>
    <sheetView tabSelected="1" view="pageBreakPreview" zoomScaleNormal="100" zoomScaleSheetLayoutView="100" workbookViewId="0">
      <selection activeCell="B2" sqref="B2:S2"/>
    </sheetView>
  </sheetViews>
  <sheetFormatPr defaultRowHeight="16.5" x14ac:dyDescent="0.3"/>
  <cols>
    <col min="1" max="1" width="3" customWidth="1"/>
    <col min="20" max="20" width="2.25" customWidth="1"/>
  </cols>
  <sheetData>
    <row r="2" spans="2:19" ht="31.5" x14ac:dyDescent="0.3">
      <c r="B2" s="259" t="s">
        <v>21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</row>
    <row r="4" spans="2:19" x14ac:dyDescent="0.3">
      <c r="S4" s="2" t="s">
        <v>22</v>
      </c>
    </row>
    <row r="5" spans="2:19" ht="30" customHeight="1" x14ac:dyDescent="0.3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</row>
    <row r="6" spans="2:19" ht="30" customHeight="1" x14ac:dyDescent="0.3">
      <c r="B6" s="1">
        <v>24</v>
      </c>
      <c r="C6" s="1">
        <v>51</v>
      </c>
      <c r="D6" s="1">
        <v>38</v>
      </c>
      <c r="E6" s="1">
        <v>17</v>
      </c>
      <c r="F6" s="1">
        <v>7</v>
      </c>
      <c r="G6" s="1">
        <v>18</v>
      </c>
      <c r="H6" s="1">
        <v>21</v>
      </c>
      <c r="I6" s="1">
        <v>4</v>
      </c>
      <c r="J6" s="1">
        <v>112</v>
      </c>
      <c r="K6" s="1">
        <v>104</v>
      </c>
      <c r="L6" s="1">
        <v>29</v>
      </c>
      <c r="M6" s="1">
        <v>107</v>
      </c>
      <c r="N6" s="1">
        <v>75</v>
      </c>
      <c r="O6" s="1">
        <v>98</v>
      </c>
      <c r="P6" s="1">
        <v>77</v>
      </c>
      <c r="Q6" s="1">
        <v>121</v>
      </c>
      <c r="R6" s="1">
        <v>41</v>
      </c>
      <c r="S6" s="1">
        <f>SUM(B6:R6)</f>
        <v>944</v>
      </c>
    </row>
    <row r="11" spans="2:19" ht="16.5" customHeight="1" x14ac:dyDescent="0.3">
      <c r="B11" s="257" t="s">
        <v>18</v>
      </c>
      <c r="C11" s="257"/>
      <c r="D11" s="257"/>
      <c r="E11" s="257"/>
      <c r="F11" s="257"/>
      <c r="H11" s="258" t="s">
        <v>19</v>
      </c>
      <c r="I11" s="258"/>
      <c r="J11" s="258"/>
      <c r="K11" s="258"/>
      <c r="L11" s="258"/>
      <c r="M11" s="258"/>
    </row>
    <row r="12" spans="2:19" x14ac:dyDescent="0.3">
      <c r="B12" s="257"/>
      <c r="C12" s="257"/>
      <c r="D12" s="257"/>
      <c r="E12" s="257"/>
      <c r="F12" s="257"/>
      <c r="H12" s="258"/>
      <c r="I12" s="258"/>
      <c r="J12" s="258"/>
      <c r="K12" s="258"/>
      <c r="L12" s="258"/>
      <c r="M12" s="258"/>
    </row>
    <row r="13" spans="2:19" x14ac:dyDescent="0.3">
      <c r="B13" s="257"/>
      <c r="C13" s="257"/>
      <c r="D13" s="257"/>
      <c r="E13" s="257"/>
      <c r="F13" s="257"/>
      <c r="H13" s="258"/>
      <c r="I13" s="258"/>
      <c r="J13" s="258"/>
      <c r="K13" s="258"/>
      <c r="L13" s="258"/>
      <c r="M13" s="258"/>
    </row>
    <row r="14" spans="2:19" x14ac:dyDescent="0.3">
      <c r="B14" s="257"/>
      <c r="C14" s="257"/>
      <c r="D14" s="257"/>
      <c r="E14" s="257"/>
      <c r="F14" s="257"/>
      <c r="H14" s="258"/>
      <c r="I14" s="258"/>
      <c r="J14" s="258"/>
      <c r="K14" s="258"/>
      <c r="L14" s="258"/>
      <c r="M14" s="258"/>
    </row>
    <row r="15" spans="2:19" x14ac:dyDescent="0.3">
      <c r="B15" s="257"/>
      <c r="C15" s="257"/>
      <c r="D15" s="257"/>
      <c r="E15" s="257"/>
      <c r="F15" s="257"/>
      <c r="H15" s="258"/>
      <c r="I15" s="258"/>
      <c r="J15" s="258"/>
      <c r="K15" s="258"/>
      <c r="L15" s="258"/>
      <c r="M15" s="258"/>
    </row>
    <row r="16" spans="2:19" x14ac:dyDescent="0.3">
      <c r="B16" s="257"/>
      <c r="C16" s="257"/>
      <c r="D16" s="257"/>
      <c r="E16" s="257"/>
      <c r="F16" s="257"/>
      <c r="H16" s="258"/>
      <c r="I16" s="258"/>
      <c r="J16" s="258"/>
      <c r="K16" s="258"/>
      <c r="L16" s="258"/>
      <c r="M16" s="258"/>
    </row>
    <row r="17" spans="2:13" x14ac:dyDescent="0.3">
      <c r="B17" s="257"/>
      <c r="C17" s="257"/>
      <c r="D17" s="257"/>
      <c r="E17" s="257"/>
      <c r="F17" s="257"/>
      <c r="H17" s="258"/>
      <c r="I17" s="258"/>
      <c r="J17" s="258"/>
      <c r="K17" s="258"/>
      <c r="L17" s="258"/>
      <c r="M17" s="258"/>
    </row>
    <row r="18" spans="2:13" x14ac:dyDescent="0.3">
      <c r="B18" s="257"/>
      <c r="C18" s="257"/>
      <c r="D18" s="257"/>
      <c r="E18" s="257"/>
      <c r="F18" s="257"/>
      <c r="H18" s="258"/>
      <c r="I18" s="258"/>
      <c r="J18" s="258"/>
      <c r="K18" s="258"/>
      <c r="L18" s="258"/>
      <c r="M18" s="258"/>
    </row>
    <row r="19" spans="2:13" x14ac:dyDescent="0.3">
      <c r="B19" s="257"/>
      <c r="C19" s="257"/>
      <c r="D19" s="257"/>
      <c r="E19" s="257"/>
      <c r="F19" s="257"/>
      <c r="H19" s="258"/>
      <c r="I19" s="258"/>
      <c r="J19" s="258"/>
      <c r="K19" s="258"/>
      <c r="L19" s="258"/>
      <c r="M19" s="258"/>
    </row>
    <row r="20" spans="2:13" x14ac:dyDescent="0.3">
      <c r="B20" s="257"/>
      <c r="C20" s="257"/>
      <c r="D20" s="257"/>
      <c r="E20" s="257"/>
      <c r="F20" s="257"/>
      <c r="H20" s="258"/>
      <c r="I20" s="258"/>
      <c r="J20" s="258"/>
      <c r="K20" s="258"/>
      <c r="L20" s="258"/>
      <c r="M20" s="258"/>
    </row>
    <row r="21" spans="2:13" x14ac:dyDescent="0.3">
      <c r="B21" s="257"/>
      <c r="C21" s="257"/>
      <c r="D21" s="257"/>
      <c r="E21" s="257"/>
      <c r="F21" s="257"/>
      <c r="H21" s="258"/>
      <c r="I21" s="258"/>
      <c r="J21" s="258"/>
      <c r="K21" s="258"/>
      <c r="L21" s="258"/>
      <c r="M21" s="258"/>
    </row>
    <row r="22" spans="2:13" x14ac:dyDescent="0.3">
      <c r="B22" s="257"/>
      <c r="C22" s="257"/>
      <c r="D22" s="257"/>
      <c r="E22" s="257"/>
      <c r="F22" s="257"/>
      <c r="H22" s="258"/>
      <c r="I22" s="258"/>
      <c r="J22" s="258"/>
      <c r="K22" s="258"/>
      <c r="L22" s="258"/>
      <c r="M22" s="258"/>
    </row>
  </sheetData>
  <mergeCells count="3">
    <mergeCell ref="B11:F22"/>
    <mergeCell ref="H11:M22"/>
    <mergeCell ref="B2:S2"/>
  </mergeCells>
  <phoneticPr fontId="2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A831-7767-4CC9-8082-11FEBD45C104}">
  <dimension ref="B3:W951"/>
  <sheetViews>
    <sheetView view="pageBreakPreview" topLeftCell="A934" zoomScale="75" zoomScaleNormal="100" zoomScaleSheetLayoutView="75" workbookViewId="0">
      <selection activeCell="V8" sqref="V8"/>
    </sheetView>
  </sheetViews>
  <sheetFormatPr defaultRowHeight="16.5" x14ac:dyDescent="0.3"/>
  <cols>
    <col min="1" max="1" width="3.125" customWidth="1"/>
    <col min="2" max="2" width="7" customWidth="1"/>
    <col min="3" max="3" width="8.5" customWidth="1"/>
    <col min="4" max="4" width="10.25" customWidth="1"/>
    <col min="5" max="5" width="23.375" customWidth="1"/>
    <col min="6" max="6" width="18.375" customWidth="1"/>
    <col min="7" max="7" width="12.875" customWidth="1"/>
    <col min="10" max="10" width="11.875" customWidth="1"/>
    <col min="11" max="14" width="9.125" bestFit="1" customWidth="1"/>
    <col min="15" max="15" width="10" bestFit="1" customWidth="1"/>
    <col min="16" max="16" width="9.125" bestFit="1" customWidth="1"/>
    <col min="17" max="17" width="11.375" customWidth="1"/>
    <col min="19" max="19" width="41.875" style="144" customWidth="1"/>
    <col min="22" max="22" width="12" customWidth="1"/>
    <col min="23" max="23" width="4.625" customWidth="1"/>
  </cols>
  <sheetData>
    <row r="3" spans="2:22" ht="31.5" x14ac:dyDescent="0.3">
      <c r="B3" s="259" t="s">
        <v>20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</row>
    <row r="6" spans="2:22" ht="24.95" customHeight="1" x14ac:dyDescent="0.3">
      <c r="B6" s="260" t="s">
        <v>23</v>
      </c>
      <c r="C6" s="261" t="s">
        <v>47</v>
      </c>
      <c r="D6" s="261" t="s">
        <v>48</v>
      </c>
      <c r="E6" s="260" t="s">
        <v>24</v>
      </c>
      <c r="F6" s="260" t="s">
        <v>52</v>
      </c>
      <c r="G6" s="260" t="s">
        <v>25</v>
      </c>
      <c r="H6" s="260" t="s">
        <v>38</v>
      </c>
      <c r="I6" s="260" t="s">
        <v>37</v>
      </c>
      <c r="J6" s="261" t="s">
        <v>49</v>
      </c>
      <c r="K6" s="260" t="s">
        <v>41</v>
      </c>
      <c r="L6" s="260"/>
      <c r="M6" s="260"/>
      <c r="N6" s="260"/>
      <c r="O6" s="260" t="s">
        <v>32</v>
      </c>
      <c r="P6" s="260"/>
      <c r="Q6" s="260" t="s">
        <v>28</v>
      </c>
      <c r="R6" s="260"/>
      <c r="S6" s="260"/>
      <c r="T6" s="261" t="s">
        <v>36</v>
      </c>
      <c r="U6" s="261" t="s">
        <v>44</v>
      </c>
      <c r="V6" s="261"/>
    </row>
    <row r="7" spans="2:22" ht="24.95" customHeight="1" x14ac:dyDescent="0.3">
      <c r="B7" s="260"/>
      <c r="C7" s="260"/>
      <c r="D7" s="260"/>
      <c r="E7" s="260"/>
      <c r="F7" s="260"/>
      <c r="G7" s="260"/>
      <c r="H7" s="260"/>
      <c r="I7" s="260"/>
      <c r="J7" s="260"/>
      <c r="K7" s="4" t="s">
        <v>33</v>
      </c>
      <c r="L7" s="4" t="s">
        <v>34</v>
      </c>
      <c r="M7" s="4" t="s">
        <v>35</v>
      </c>
      <c r="N7" s="4" t="s">
        <v>17</v>
      </c>
      <c r="O7" s="4" t="s">
        <v>30</v>
      </c>
      <c r="P7" s="4" t="s">
        <v>31</v>
      </c>
      <c r="Q7" s="4" t="s">
        <v>26</v>
      </c>
      <c r="R7" s="4" t="s">
        <v>29</v>
      </c>
      <c r="S7" s="122" t="s">
        <v>27</v>
      </c>
      <c r="T7" s="260"/>
      <c r="U7" s="4" t="s">
        <v>45</v>
      </c>
      <c r="V7" s="4" t="s">
        <v>46</v>
      </c>
    </row>
    <row r="8" spans="2:22" ht="15" customHeight="1" x14ac:dyDescent="0.3">
      <c r="B8" s="22">
        <v>1</v>
      </c>
      <c r="C8" s="49" t="s">
        <v>0</v>
      </c>
      <c r="D8" s="49" t="s">
        <v>53</v>
      </c>
      <c r="E8" s="49" t="s">
        <v>54</v>
      </c>
      <c r="F8" s="49" t="s">
        <v>55</v>
      </c>
      <c r="G8" s="49" t="s">
        <v>56</v>
      </c>
      <c r="H8" s="49" t="s">
        <v>39</v>
      </c>
      <c r="I8" s="49" t="s">
        <v>57</v>
      </c>
      <c r="J8" s="49">
        <v>2009</v>
      </c>
      <c r="K8" s="49">
        <v>0</v>
      </c>
      <c r="L8" s="49"/>
      <c r="M8" s="49" t="s">
        <v>58</v>
      </c>
      <c r="N8" s="49">
        <v>700</v>
      </c>
      <c r="O8" s="117">
        <v>51433</v>
      </c>
      <c r="P8" s="117"/>
      <c r="Q8" s="49" t="s">
        <v>59</v>
      </c>
      <c r="R8" s="58" t="s">
        <v>42</v>
      </c>
      <c r="S8" s="123"/>
      <c r="T8" s="49" t="s">
        <v>60</v>
      </c>
      <c r="U8" s="58" t="s">
        <v>61</v>
      </c>
      <c r="V8" s="58" t="s">
        <v>62</v>
      </c>
    </row>
    <row r="9" spans="2:22" ht="15" customHeight="1" x14ac:dyDescent="0.3">
      <c r="B9" s="22">
        <v>2</v>
      </c>
      <c r="C9" s="22" t="s">
        <v>0</v>
      </c>
      <c r="D9" s="22" t="s">
        <v>63</v>
      </c>
      <c r="E9" s="22" t="s">
        <v>64</v>
      </c>
      <c r="F9" s="22" t="s">
        <v>55</v>
      </c>
      <c r="G9" s="22" t="s">
        <v>65</v>
      </c>
      <c r="H9" s="22" t="s">
        <v>66</v>
      </c>
      <c r="I9" s="22" t="s">
        <v>67</v>
      </c>
      <c r="J9" s="22">
        <v>1996</v>
      </c>
      <c r="K9" s="22" t="s">
        <v>68</v>
      </c>
      <c r="L9" s="22">
        <v>617</v>
      </c>
      <c r="M9" s="22" t="s">
        <v>68</v>
      </c>
      <c r="N9" s="22">
        <v>617</v>
      </c>
      <c r="O9" s="12">
        <v>10000</v>
      </c>
      <c r="P9" s="22" t="s">
        <v>68</v>
      </c>
      <c r="Q9" s="22" t="s">
        <v>63</v>
      </c>
      <c r="R9" s="22" t="s">
        <v>69</v>
      </c>
      <c r="S9" s="88" t="s">
        <v>70</v>
      </c>
      <c r="T9" s="22" t="s">
        <v>68</v>
      </c>
      <c r="U9" s="22" t="s">
        <v>71</v>
      </c>
      <c r="V9" s="22" t="s">
        <v>72</v>
      </c>
    </row>
    <row r="10" spans="2:22" ht="15" customHeight="1" x14ac:dyDescent="0.3">
      <c r="B10" s="22">
        <v>3</v>
      </c>
      <c r="C10" s="36" t="s">
        <v>0</v>
      </c>
      <c r="D10" s="36" t="s">
        <v>73</v>
      </c>
      <c r="E10" s="36" t="s">
        <v>74</v>
      </c>
      <c r="F10" s="36" t="s">
        <v>55</v>
      </c>
      <c r="G10" s="36" t="s">
        <v>75</v>
      </c>
      <c r="H10" s="36" t="s">
        <v>76</v>
      </c>
      <c r="I10" s="36" t="s">
        <v>51</v>
      </c>
      <c r="J10" s="36">
        <v>1999</v>
      </c>
      <c r="K10" s="36">
        <v>0</v>
      </c>
      <c r="L10" s="36">
        <v>395</v>
      </c>
      <c r="M10" s="36">
        <v>0</v>
      </c>
      <c r="N10" s="36">
        <v>395</v>
      </c>
      <c r="O10" s="36" t="s">
        <v>77</v>
      </c>
      <c r="P10" s="36" t="s">
        <v>78</v>
      </c>
      <c r="Q10" s="36" t="s">
        <v>79</v>
      </c>
      <c r="R10" s="36" t="s">
        <v>80</v>
      </c>
      <c r="S10" s="124" t="s">
        <v>81</v>
      </c>
      <c r="T10" s="36"/>
      <c r="U10" s="36" t="s">
        <v>82</v>
      </c>
      <c r="V10" s="36" t="s">
        <v>83</v>
      </c>
    </row>
    <row r="11" spans="2:22" ht="15" customHeight="1" x14ac:dyDescent="0.3">
      <c r="B11" s="22">
        <v>4</v>
      </c>
      <c r="C11" s="22" t="s">
        <v>0</v>
      </c>
      <c r="D11" s="22" t="s">
        <v>84</v>
      </c>
      <c r="E11" s="22" t="s">
        <v>85</v>
      </c>
      <c r="F11" s="22" t="s">
        <v>86</v>
      </c>
      <c r="G11" s="22" t="s">
        <v>87</v>
      </c>
      <c r="H11" s="22" t="s">
        <v>88</v>
      </c>
      <c r="I11" s="22" t="s">
        <v>67</v>
      </c>
      <c r="J11" s="22">
        <v>2003</v>
      </c>
      <c r="K11" s="22">
        <v>0</v>
      </c>
      <c r="L11" s="22">
        <v>320</v>
      </c>
      <c r="M11" s="22">
        <v>480</v>
      </c>
      <c r="N11" s="22">
        <v>800</v>
      </c>
      <c r="O11" s="22">
        <v>0</v>
      </c>
      <c r="P11" s="22">
        <v>0</v>
      </c>
      <c r="Q11" s="22" t="s">
        <v>89</v>
      </c>
      <c r="R11" s="22" t="s">
        <v>90</v>
      </c>
      <c r="S11" s="88"/>
      <c r="T11" s="22"/>
      <c r="U11" s="22" t="s">
        <v>91</v>
      </c>
      <c r="V11" s="22" t="s">
        <v>92</v>
      </c>
    </row>
    <row r="12" spans="2:22" ht="15" customHeight="1" x14ac:dyDescent="0.3">
      <c r="B12" s="22">
        <v>5</v>
      </c>
      <c r="C12" s="22" t="s">
        <v>0</v>
      </c>
      <c r="D12" s="22" t="s">
        <v>93</v>
      </c>
      <c r="E12" s="22" t="s">
        <v>94</v>
      </c>
      <c r="F12" s="22" t="s">
        <v>95</v>
      </c>
      <c r="G12" s="22" t="s">
        <v>96</v>
      </c>
      <c r="H12" s="22" t="s">
        <v>97</v>
      </c>
      <c r="I12" s="22" t="s">
        <v>51</v>
      </c>
      <c r="J12" s="22" t="s">
        <v>98</v>
      </c>
      <c r="K12" s="22"/>
      <c r="L12" s="22">
        <v>131</v>
      </c>
      <c r="M12" s="22"/>
      <c r="N12" s="22">
        <v>131</v>
      </c>
      <c r="O12" s="23" t="s">
        <v>99</v>
      </c>
      <c r="P12" s="22" t="s">
        <v>100</v>
      </c>
      <c r="Q12" s="22" t="s">
        <v>101</v>
      </c>
      <c r="R12" s="22" t="s">
        <v>42</v>
      </c>
      <c r="S12" s="88" t="s">
        <v>102</v>
      </c>
      <c r="T12" s="22"/>
      <c r="U12" s="22" t="s">
        <v>103</v>
      </c>
      <c r="V12" s="22" t="s">
        <v>92</v>
      </c>
    </row>
    <row r="13" spans="2:22" ht="15" customHeight="1" x14ac:dyDescent="0.3">
      <c r="B13" s="22">
        <v>6</v>
      </c>
      <c r="C13" s="22" t="s">
        <v>0</v>
      </c>
      <c r="D13" s="22" t="s">
        <v>93</v>
      </c>
      <c r="E13" s="22" t="s">
        <v>105</v>
      </c>
      <c r="F13" s="22" t="s">
        <v>106</v>
      </c>
      <c r="G13" s="22" t="s">
        <v>107</v>
      </c>
      <c r="H13" s="22" t="s">
        <v>108</v>
      </c>
      <c r="I13" s="22" t="s">
        <v>51</v>
      </c>
      <c r="J13" s="22" t="s">
        <v>109</v>
      </c>
      <c r="K13" s="22"/>
      <c r="L13" s="22">
        <v>50</v>
      </c>
      <c r="M13" s="22"/>
      <c r="N13" s="22">
        <v>50</v>
      </c>
      <c r="O13" s="22" t="s">
        <v>68</v>
      </c>
      <c r="P13" s="22" t="s">
        <v>68</v>
      </c>
      <c r="Q13" s="22" t="s">
        <v>101</v>
      </c>
      <c r="R13" s="22" t="s">
        <v>42</v>
      </c>
      <c r="S13" s="88" t="s">
        <v>102</v>
      </c>
      <c r="T13" s="22"/>
      <c r="U13" s="22" t="s">
        <v>103</v>
      </c>
      <c r="V13" s="22" t="s">
        <v>104</v>
      </c>
    </row>
    <row r="14" spans="2:22" ht="15" customHeight="1" x14ac:dyDescent="0.3">
      <c r="B14" s="22">
        <v>7</v>
      </c>
      <c r="C14" s="22" t="s">
        <v>110</v>
      </c>
      <c r="D14" s="22" t="s">
        <v>93</v>
      </c>
      <c r="E14" s="22" t="s">
        <v>111</v>
      </c>
      <c r="F14" s="22" t="s">
        <v>55</v>
      </c>
      <c r="G14" s="22" t="s">
        <v>112</v>
      </c>
      <c r="H14" s="22" t="s">
        <v>113</v>
      </c>
      <c r="I14" s="22" t="s">
        <v>51</v>
      </c>
      <c r="J14" s="22" t="s">
        <v>114</v>
      </c>
      <c r="K14" s="22"/>
      <c r="L14" s="22">
        <v>123</v>
      </c>
      <c r="M14" s="22"/>
      <c r="N14" s="22">
        <v>123</v>
      </c>
      <c r="O14" s="22" t="s">
        <v>68</v>
      </c>
      <c r="P14" s="22" t="s">
        <v>68</v>
      </c>
      <c r="Q14" s="22" t="s">
        <v>101</v>
      </c>
      <c r="R14" s="22" t="s">
        <v>42</v>
      </c>
      <c r="S14" s="88" t="s">
        <v>102</v>
      </c>
      <c r="T14" s="22"/>
      <c r="U14" s="22" t="s">
        <v>103</v>
      </c>
      <c r="V14" s="22" t="s">
        <v>104</v>
      </c>
    </row>
    <row r="15" spans="2:22" ht="15" customHeight="1" x14ac:dyDescent="0.3">
      <c r="B15" s="22">
        <v>8</v>
      </c>
      <c r="C15" s="22" t="s">
        <v>0</v>
      </c>
      <c r="D15" s="22" t="s">
        <v>115</v>
      </c>
      <c r="E15" s="22" t="s">
        <v>116</v>
      </c>
      <c r="F15" s="22" t="s">
        <v>55</v>
      </c>
      <c r="G15" s="22" t="s">
        <v>117</v>
      </c>
      <c r="H15" s="22" t="s">
        <v>118</v>
      </c>
      <c r="I15" s="59" t="s">
        <v>119</v>
      </c>
      <c r="J15" s="22">
        <v>2015</v>
      </c>
      <c r="K15" s="22"/>
      <c r="L15" s="22">
        <v>650</v>
      </c>
      <c r="M15" s="22">
        <v>350</v>
      </c>
      <c r="N15" s="23">
        <v>1000</v>
      </c>
      <c r="O15" s="22" t="s">
        <v>120</v>
      </c>
      <c r="P15" s="22"/>
      <c r="Q15" s="22" t="s">
        <v>121</v>
      </c>
      <c r="R15" s="22" t="s">
        <v>42</v>
      </c>
      <c r="S15" s="88" t="s">
        <v>122</v>
      </c>
      <c r="T15" s="22"/>
      <c r="U15" s="22" t="s">
        <v>123</v>
      </c>
      <c r="V15" s="22" t="s">
        <v>124</v>
      </c>
    </row>
    <row r="16" spans="2:22" ht="15" customHeight="1" x14ac:dyDescent="0.3">
      <c r="B16" s="22">
        <v>9</v>
      </c>
      <c r="C16" s="22" t="s">
        <v>0</v>
      </c>
      <c r="D16" s="22" t="s">
        <v>125</v>
      </c>
      <c r="E16" s="22" t="s">
        <v>126</v>
      </c>
      <c r="F16" s="22" t="s">
        <v>50</v>
      </c>
      <c r="G16" s="22" t="s">
        <v>127</v>
      </c>
      <c r="H16" s="22" t="s">
        <v>128</v>
      </c>
      <c r="I16" s="22" t="s">
        <v>67</v>
      </c>
      <c r="J16" s="22">
        <v>1998</v>
      </c>
      <c r="K16" s="22"/>
      <c r="L16" s="22">
        <v>84</v>
      </c>
      <c r="M16" s="22"/>
      <c r="N16" s="22">
        <v>84</v>
      </c>
      <c r="O16" s="8" t="s">
        <v>129</v>
      </c>
      <c r="P16" s="22"/>
      <c r="Q16" s="22" t="s">
        <v>130</v>
      </c>
      <c r="R16" s="22" t="s">
        <v>42</v>
      </c>
      <c r="S16" s="88" t="s">
        <v>131</v>
      </c>
      <c r="T16" s="22"/>
      <c r="U16" s="22" t="s">
        <v>132</v>
      </c>
      <c r="V16" s="22" t="s">
        <v>133</v>
      </c>
    </row>
    <row r="17" spans="2:22" ht="15" customHeight="1" x14ac:dyDescent="0.3">
      <c r="B17" s="22">
        <v>10</v>
      </c>
      <c r="C17" s="22" t="s">
        <v>0</v>
      </c>
      <c r="D17" s="22" t="s">
        <v>125</v>
      </c>
      <c r="E17" s="22" t="s">
        <v>134</v>
      </c>
      <c r="F17" s="22" t="s">
        <v>95</v>
      </c>
      <c r="G17" s="22" t="s">
        <v>135</v>
      </c>
      <c r="H17" s="22" t="s">
        <v>136</v>
      </c>
      <c r="I17" s="22" t="s">
        <v>67</v>
      </c>
      <c r="J17" s="22">
        <v>1998</v>
      </c>
      <c r="K17" s="22"/>
      <c r="L17" s="22">
        <v>50</v>
      </c>
      <c r="M17" s="22"/>
      <c r="N17" s="22">
        <v>50</v>
      </c>
      <c r="O17" s="8" t="s">
        <v>137</v>
      </c>
      <c r="P17" s="22"/>
      <c r="Q17" s="22" t="s">
        <v>130</v>
      </c>
      <c r="R17" s="22" t="s">
        <v>42</v>
      </c>
      <c r="S17" s="88" t="s">
        <v>131</v>
      </c>
      <c r="T17" s="22"/>
      <c r="U17" s="22" t="s">
        <v>132</v>
      </c>
      <c r="V17" s="22" t="s">
        <v>133</v>
      </c>
    </row>
    <row r="18" spans="2:22" ht="15" customHeight="1" x14ac:dyDescent="0.3">
      <c r="B18" s="22">
        <v>11</v>
      </c>
      <c r="C18" s="8" t="s">
        <v>0</v>
      </c>
      <c r="D18" s="8" t="s">
        <v>125</v>
      </c>
      <c r="E18" s="8" t="s">
        <v>138</v>
      </c>
      <c r="F18" s="8" t="s">
        <v>50</v>
      </c>
      <c r="G18" s="8" t="s">
        <v>139</v>
      </c>
      <c r="H18" s="8" t="s">
        <v>140</v>
      </c>
      <c r="I18" s="8" t="s">
        <v>67</v>
      </c>
      <c r="J18" s="8">
        <v>2019</v>
      </c>
      <c r="K18" s="8"/>
      <c r="L18" s="8">
        <v>120</v>
      </c>
      <c r="M18" s="8"/>
      <c r="N18" s="8">
        <v>120</v>
      </c>
      <c r="O18" s="8" t="s">
        <v>141</v>
      </c>
      <c r="P18" s="8"/>
      <c r="Q18" s="8" t="s">
        <v>130</v>
      </c>
      <c r="R18" s="8" t="s">
        <v>42</v>
      </c>
      <c r="S18" s="88" t="s">
        <v>131</v>
      </c>
      <c r="T18" s="8"/>
      <c r="U18" s="8" t="s">
        <v>142</v>
      </c>
      <c r="V18" s="8" t="s">
        <v>143</v>
      </c>
    </row>
    <row r="19" spans="2:22" ht="15" customHeight="1" x14ac:dyDescent="0.3">
      <c r="B19" s="22">
        <v>12</v>
      </c>
      <c r="C19" s="8" t="s">
        <v>0</v>
      </c>
      <c r="D19" s="8" t="s">
        <v>125</v>
      </c>
      <c r="E19" s="8" t="s">
        <v>144</v>
      </c>
      <c r="F19" s="8" t="s">
        <v>55</v>
      </c>
      <c r="G19" s="8" t="s">
        <v>145</v>
      </c>
      <c r="H19" s="8" t="s">
        <v>140</v>
      </c>
      <c r="I19" s="8" t="s">
        <v>67</v>
      </c>
      <c r="J19" s="8">
        <v>2015</v>
      </c>
      <c r="K19" s="8"/>
      <c r="L19" s="8">
        <v>24.5</v>
      </c>
      <c r="M19" s="8"/>
      <c r="N19" s="8">
        <v>24.5</v>
      </c>
      <c r="O19" s="8" t="s">
        <v>146</v>
      </c>
      <c r="P19" s="8"/>
      <c r="Q19" s="8" t="s">
        <v>130</v>
      </c>
      <c r="R19" s="8" t="s">
        <v>42</v>
      </c>
      <c r="S19" s="88" t="s">
        <v>131</v>
      </c>
      <c r="T19" s="8"/>
      <c r="U19" s="8" t="s">
        <v>142</v>
      </c>
      <c r="V19" s="8" t="s">
        <v>143</v>
      </c>
    </row>
    <row r="20" spans="2:22" ht="15" customHeight="1" x14ac:dyDescent="0.3">
      <c r="B20" s="22">
        <v>13</v>
      </c>
      <c r="C20" s="22" t="s">
        <v>0</v>
      </c>
      <c r="D20" s="22" t="s">
        <v>147</v>
      </c>
      <c r="E20" s="22" t="s">
        <v>148</v>
      </c>
      <c r="F20" s="22" t="s">
        <v>149</v>
      </c>
      <c r="G20" s="22" t="s">
        <v>150</v>
      </c>
      <c r="H20" s="22" t="s">
        <v>151</v>
      </c>
      <c r="I20" s="22" t="s">
        <v>51</v>
      </c>
      <c r="J20" s="22">
        <v>2018</v>
      </c>
      <c r="K20" s="22"/>
      <c r="L20" s="22">
        <v>100</v>
      </c>
      <c r="M20" s="22"/>
      <c r="N20" s="22">
        <v>100</v>
      </c>
      <c r="O20" s="23">
        <v>2000</v>
      </c>
      <c r="P20" s="22"/>
      <c r="Q20" s="22" t="s">
        <v>152</v>
      </c>
      <c r="R20" s="22" t="s">
        <v>42</v>
      </c>
      <c r="S20" s="88" t="s">
        <v>153</v>
      </c>
      <c r="T20" s="22"/>
      <c r="U20" s="22" t="s">
        <v>154</v>
      </c>
      <c r="V20" s="22" t="s">
        <v>155</v>
      </c>
    </row>
    <row r="21" spans="2:22" ht="15" customHeight="1" x14ac:dyDescent="0.3">
      <c r="B21" s="22">
        <v>14</v>
      </c>
      <c r="C21" s="22" t="s">
        <v>0</v>
      </c>
      <c r="D21" s="36" t="s">
        <v>156</v>
      </c>
      <c r="E21" s="36" t="s">
        <v>157</v>
      </c>
      <c r="F21" s="36" t="s">
        <v>95</v>
      </c>
      <c r="G21" s="36" t="s">
        <v>158</v>
      </c>
      <c r="H21" s="36" t="s">
        <v>159</v>
      </c>
      <c r="I21" s="36" t="s">
        <v>67</v>
      </c>
      <c r="J21" s="36">
        <v>2005</v>
      </c>
      <c r="K21" s="36">
        <v>0</v>
      </c>
      <c r="L21" s="36">
        <v>422</v>
      </c>
      <c r="M21" s="36">
        <v>283</v>
      </c>
      <c r="N21" s="36">
        <v>705</v>
      </c>
      <c r="O21" s="36" t="s">
        <v>160</v>
      </c>
      <c r="P21" s="36"/>
      <c r="Q21" s="36" t="s">
        <v>161</v>
      </c>
      <c r="R21" s="36" t="s">
        <v>162</v>
      </c>
      <c r="S21" s="88"/>
      <c r="T21" s="22"/>
      <c r="U21" s="36" t="s">
        <v>163</v>
      </c>
      <c r="V21" s="36" t="s">
        <v>164</v>
      </c>
    </row>
    <row r="22" spans="2:22" ht="15" customHeight="1" x14ac:dyDescent="0.3">
      <c r="B22" s="22">
        <v>15</v>
      </c>
      <c r="C22" s="22" t="s">
        <v>0</v>
      </c>
      <c r="D22" s="22" t="s">
        <v>165</v>
      </c>
      <c r="E22" s="22" t="s">
        <v>166</v>
      </c>
      <c r="F22" s="22" t="s">
        <v>55</v>
      </c>
      <c r="G22" s="22" t="s">
        <v>167</v>
      </c>
      <c r="H22" s="22" t="s">
        <v>168</v>
      </c>
      <c r="I22" s="22" t="s">
        <v>169</v>
      </c>
      <c r="J22" s="22" t="s">
        <v>170</v>
      </c>
      <c r="K22" s="22">
        <v>0</v>
      </c>
      <c r="L22" s="22">
        <v>315</v>
      </c>
      <c r="M22" s="22">
        <v>0</v>
      </c>
      <c r="N22" s="22">
        <v>315</v>
      </c>
      <c r="O22" s="22" t="s">
        <v>171</v>
      </c>
      <c r="P22" s="22" t="s">
        <v>171</v>
      </c>
      <c r="Q22" s="22" t="s">
        <v>172</v>
      </c>
      <c r="R22" s="22" t="s">
        <v>173</v>
      </c>
      <c r="S22" s="88" t="s">
        <v>68</v>
      </c>
      <c r="T22" s="22" t="s">
        <v>68</v>
      </c>
      <c r="U22" s="22" t="s">
        <v>174</v>
      </c>
      <c r="V22" s="22" t="s">
        <v>175</v>
      </c>
    </row>
    <row r="23" spans="2:22" ht="15" customHeight="1" x14ac:dyDescent="0.3">
      <c r="B23" s="22">
        <v>16</v>
      </c>
      <c r="C23" s="22" t="s">
        <v>0</v>
      </c>
      <c r="D23" s="22" t="s">
        <v>176</v>
      </c>
      <c r="E23" s="22" t="s">
        <v>177</v>
      </c>
      <c r="F23" s="22" t="s">
        <v>55</v>
      </c>
      <c r="G23" s="22" t="s">
        <v>178</v>
      </c>
      <c r="H23" s="22" t="s">
        <v>179</v>
      </c>
      <c r="I23" s="22" t="s">
        <v>67</v>
      </c>
      <c r="J23" s="22">
        <v>2015</v>
      </c>
      <c r="K23" s="22">
        <v>0</v>
      </c>
      <c r="L23" s="22">
        <v>600</v>
      </c>
      <c r="M23" s="22">
        <v>0</v>
      </c>
      <c r="N23" s="22">
        <v>600</v>
      </c>
      <c r="O23" s="23">
        <v>1150000</v>
      </c>
      <c r="P23" s="22">
        <v>0</v>
      </c>
      <c r="Q23" s="22" t="s">
        <v>180</v>
      </c>
      <c r="R23" s="22" t="s">
        <v>42</v>
      </c>
      <c r="S23" s="88" t="s">
        <v>181</v>
      </c>
      <c r="T23" s="22" t="s">
        <v>43</v>
      </c>
      <c r="U23" s="22" t="s">
        <v>182</v>
      </c>
      <c r="V23" s="22" t="s">
        <v>183</v>
      </c>
    </row>
    <row r="24" spans="2:22" ht="15" customHeight="1" x14ac:dyDescent="0.3">
      <c r="B24" s="22">
        <v>17</v>
      </c>
      <c r="C24" s="22" t="s">
        <v>0</v>
      </c>
      <c r="D24" s="22" t="s">
        <v>176</v>
      </c>
      <c r="E24" s="22" t="s">
        <v>184</v>
      </c>
      <c r="F24" s="22" t="s">
        <v>55</v>
      </c>
      <c r="G24" s="22" t="s">
        <v>167</v>
      </c>
      <c r="H24" s="22" t="s">
        <v>185</v>
      </c>
      <c r="I24" s="22" t="s">
        <v>67</v>
      </c>
      <c r="J24" s="22">
        <v>2016</v>
      </c>
      <c r="K24" s="22">
        <v>0</v>
      </c>
      <c r="L24" s="22">
        <v>113</v>
      </c>
      <c r="M24" s="22">
        <v>0</v>
      </c>
      <c r="N24" s="22">
        <v>113</v>
      </c>
      <c r="O24" s="23">
        <v>39000</v>
      </c>
      <c r="P24" s="22">
        <v>0</v>
      </c>
      <c r="Q24" s="22" t="s">
        <v>180</v>
      </c>
      <c r="R24" s="22" t="s">
        <v>42</v>
      </c>
      <c r="S24" s="88" t="s">
        <v>181</v>
      </c>
      <c r="T24" s="22" t="s">
        <v>43</v>
      </c>
      <c r="U24" s="22" t="s">
        <v>182</v>
      </c>
      <c r="V24" s="22" t="s">
        <v>183</v>
      </c>
    </row>
    <row r="25" spans="2:22" ht="15" customHeight="1" x14ac:dyDescent="0.3">
      <c r="B25" s="22">
        <v>18</v>
      </c>
      <c r="C25" s="22" t="s">
        <v>0</v>
      </c>
      <c r="D25" s="22" t="s">
        <v>176</v>
      </c>
      <c r="E25" s="22" t="s">
        <v>186</v>
      </c>
      <c r="F25" s="22" t="s">
        <v>55</v>
      </c>
      <c r="G25" s="22" t="s">
        <v>187</v>
      </c>
      <c r="H25" s="22" t="s">
        <v>188</v>
      </c>
      <c r="I25" s="22" t="s">
        <v>67</v>
      </c>
      <c r="J25" s="22">
        <v>2015</v>
      </c>
      <c r="K25" s="22">
        <v>0</v>
      </c>
      <c r="L25" s="22">
        <v>65</v>
      </c>
      <c r="M25" s="22">
        <v>0</v>
      </c>
      <c r="N25" s="22">
        <v>65</v>
      </c>
      <c r="O25" s="23">
        <v>2000</v>
      </c>
      <c r="P25" s="22">
        <v>0</v>
      </c>
      <c r="Q25" s="22"/>
      <c r="R25" s="22"/>
      <c r="S25" s="88"/>
      <c r="T25" s="22" t="s">
        <v>43</v>
      </c>
      <c r="U25" s="22" t="s">
        <v>189</v>
      </c>
      <c r="V25" s="22" t="s">
        <v>190</v>
      </c>
    </row>
    <row r="26" spans="2:22" ht="15" customHeight="1" x14ac:dyDescent="0.3">
      <c r="B26" s="22">
        <v>19</v>
      </c>
      <c r="C26" s="22" t="s">
        <v>0</v>
      </c>
      <c r="D26" s="22" t="s">
        <v>191</v>
      </c>
      <c r="E26" s="22" t="s">
        <v>192</v>
      </c>
      <c r="F26" s="22" t="s">
        <v>55</v>
      </c>
      <c r="G26" s="22" t="s">
        <v>193</v>
      </c>
      <c r="H26" s="59" t="s">
        <v>194</v>
      </c>
      <c r="I26" s="22" t="s">
        <v>51</v>
      </c>
      <c r="J26" s="22">
        <v>2009</v>
      </c>
      <c r="K26" s="22"/>
      <c r="L26" s="22">
        <v>111</v>
      </c>
      <c r="M26" s="22"/>
      <c r="N26" s="22">
        <v>111</v>
      </c>
      <c r="O26" s="76">
        <v>60000</v>
      </c>
      <c r="P26" s="22"/>
      <c r="Q26" s="22" t="s">
        <v>194</v>
      </c>
      <c r="R26" s="22" t="s">
        <v>195</v>
      </c>
      <c r="S26" s="88" t="s">
        <v>196</v>
      </c>
      <c r="T26" s="22"/>
      <c r="U26" s="22" t="s">
        <v>197</v>
      </c>
      <c r="V26" s="22" t="s">
        <v>198</v>
      </c>
    </row>
    <row r="27" spans="2:22" ht="15" customHeight="1" x14ac:dyDescent="0.3">
      <c r="B27" s="22">
        <v>20</v>
      </c>
      <c r="C27" s="22" t="s">
        <v>0</v>
      </c>
      <c r="D27" s="22" t="s">
        <v>191</v>
      </c>
      <c r="E27" s="74" t="s">
        <v>199</v>
      </c>
      <c r="F27" s="22" t="s">
        <v>55</v>
      </c>
      <c r="G27" s="22" t="s">
        <v>200</v>
      </c>
      <c r="H27" s="59" t="s">
        <v>201</v>
      </c>
      <c r="I27" s="22" t="s">
        <v>51</v>
      </c>
      <c r="J27" s="22">
        <v>2013</v>
      </c>
      <c r="K27" s="22"/>
      <c r="L27" s="22">
        <v>250</v>
      </c>
      <c r="M27" s="22"/>
      <c r="N27" s="22">
        <v>250</v>
      </c>
      <c r="O27" s="76">
        <v>150000</v>
      </c>
      <c r="P27" s="22"/>
      <c r="Q27" s="22" t="s">
        <v>194</v>
      </c>
      <c r="R27" s="22" t="s">
        <v>195</v>
      </c>
      <c r="S27" s="88" t="s">
        <v>196</v>
      </c>
      <c r="T27" s="22"/>
      <c r="U27" s="22" t="s">
        <v>202</v>
      </c>
      <c r="V27" s="22" t="s">
        <v>203</v>
      </c>
    </row>
    <row r="28" spans="2:22" ht="15" customHeight="1" x14ac:dyDescent="0.3">
      <c r="B28" s="22">
        <v>21</v>
      </c>
      <c r="C28" s="36" t="s">
        <v>0</v>
      </c>
      <c r="D28" s="36" t="s">
        <v>191</v>
      </c>
      <c r="E28" s="77" t="s">
        <v>204</v>
      </c>
      <c r="F28" s="5" t="s">
        <v>55</v>
      </c>
      <c r="G28" s="36" t="s">
        <v>205</v>
      </c>
      <c r="H28" s="78" t="s">
        <v>206</v>
      </c>
      <c r="I28" s="5" t="s">
        <v>67</v>
      </c>
      <c r="J28" s="36">
        <v>2017</v>
      </c>
      <c r="K28" s="36"/>
      <c r="L28" s="36">
        <v>120</v>
      </c>
      <c r="M28" s="36"/>
      <c r="N28" s="36">
        <v>120</v>
      </c>
      <c r="O28" s="79">
        <v>70021</v>
      </c>
      <c r="P28" s="36"/>
      <c r="Q28" s="36" t="s">
        <v>207</v>
      </c>
      <c r="R28" s="36" t="s">
        <v>42</v>
      </c>
      <c r="S28" s="90" t="s">
        <v>208</v>
      </c>
      <c r="T28" s="36"/>
      <c r="U28" s="5" t="s">
        <v>209</v>
      </c>
      <c r="V28" s="5" t="s">
        <v>210</v>
      </c>
    </row>
    <row r="29" spans="2:22" ht="15" customHeight="1" x14ac:dyDescent="0.3">
      <c r="B29" s="22">
        <v>22</v>
      </c>
      <c r="C29" s="22" t="s">
        <v>0</v>
      </c>
      <c r="D29" s="22" t="s">
        <v>191</v>
      </c>
      <c r="E29" s="74" t="s">
        <v>211</v>
      </c>
      <c r="F29" s="22" t="s">
        <v>50</v>
      </c>
      <c r="G29" s="22" t="s">
        <v>212</v>
      </c>
      <c r="H29" s="59" t="s">
        <v>213</v>
      </c>
      <c r="I29" s="22" t="s">
        <v>51</v>
      </c>
      <c r="J29" s="22">
        <v>1996</v>
      </c>
      <c r="K29" s="22"/>
      <c r="L29" s="22">
        <v>16</v>
      </c>
      <c r="M29" s="22">
        <v>1</v>
      </c>
      <c r="N29" s="22">
        <v>17</v>
      </c>
      <c r="O29" s="76">
        <v>200</v>
      </c>
      <c r="P29" s="22"/>
      <c r="Q29" s="22" t="s">
        <v>214</v>
      </c>
      <c r="R29" s="22" t="s">
        <v>215</v>
      </c>
      <c r="S29" s="88" t="s">
        <v>216</v>
      </c>
      <c r="T29" s="22"/>
      <c r="U29" s="22" t="s">
        <v>217</v>
      </c>
      <c r="V29" s="22" t="s">
        <v>218</v>
      </c>
    </row>
    <row r="30" spans="2:22" ht="15" customHeight="1" x14ac:dyDescent="0.3">
      <c r="B30" s="22">
        <v>23</v>
      </c>
      <c r="C30" s="22" t="s">
        <v>0</v>
      </c>
      <c r="D30" s="22" t="s">
        <v>191</v>
      </c>
      <c r="E30" s="74" t="s">
        <v>219</v>
      </c>
      <c r="F30" s="22" t="s">
        <v>55</v>
      </c>
      <c r="G30" s="22" t="s">
        <v>220</v>
      </c>
      <c r="H30" s="59" t="s">
        <v>221</v>
      </c>
      <c r="I30" s="22" t="s">
        <v>67</v>
      </c>
      <c r="J30" s="22">
        <v>2021</v>
      </c>
      <c r="K30" s="22"/>
      <c r="L30" s="22">
        <v>50</v>
      </c>
      <c r="M30" s="22"/>
      <c r="N30" s="22">
        <v>50</v>
      </c>
      <c r="O30" s="76">
        <v>5000</v>
      </c>
      <c r="P30" s="22"/>
      <c r="Q30" s="22" t="s">
        <v>214</v>
      </c>
      <c r="R30" s="22" t="s">
        <v>215</v>
      </c>
      <c r="S30" s="88" t="s">
        <v>216</v>
      </c>
      <c r="T30" s="22"/>
      <c r="U30" s="22" t="s">
        <v>217</v>
      </c>
      <c r="V30" s="22" t="s">
        <v>218</v>
      </c>
    </row>
    <row r="31" spans="2:22" ht="15" customHeight="1" x14ac:dyDescent="0.3">
      <c r="B31" s="22">
        <v>24</v>
      </c>
      <c r="C31" s="22" t="s">
        <v>0</v>
      </c>
      <c r="D31" s="22" t="s">
        <v>191</v>
      </c>
      <c r="E31" s="22" t="s">
        <v>222</v>
      </c>
      <c r="F31" s="22" t="s">
        <v>86</v>
      </c>
      <c r="G31" s="22" t="s">
        <v>223</v>
      </c>
      <c r="H31" s="59" t="s">
        <v>224</v>
      </c>
      <c r="I31" s="22" t="s">
        <v>51</v>
      </c>
      <c r="J31" s="22">
        <v>2013</v>
      </c>
      <c r="K31" s="22"/>
      <c r="L31" s="22">
        <v>45</v>
      </c>
      <c r="M31" s="22">
        <v>10</v>
      </c>
      <c r="N31" s="22">
        <v>55</v>
      </c>
      <c r="O31" s="76">
        <v>120000</v>
      </c>
      <c r="P31" s="22"/>
      <c r="Q31" s="22" t="s">
        <v>225</v>
      </c>
      <c r="R31" s="22" t="s">
        <v>226</v>
      </c>
      <c r="S31" s="88" t="s">
        <v>227</v>
      </c>
      <c r="T31" s="22"/>
      <c r="U31" s="22" t="s">
        <v>228</v>
      </c>
      <c r="V31" s="22" t="s">
        <v>229</v>
      </c>
    </row>
    <row r="32" spans="2:22" ht="15" customHeight="1" x14ac:dyDescent="0.3">
      <c r="B32" s="22">
        <v>25</v>
      </c>
      <c r="C32" s="22" t="s">
        <v>230</v>
      </c>
      <c r="D32" s="22"/>
      <c r="E32" s="22" t="s">
        <v>231</v>
      </c>
      <c r="F32" s="22" t="s">
        <v>232</v>
      </c>
      <c r="G32" s="22" t="s">
        <v>233</v>
      </c>
      <c r="H32" s="22" t="s">
        <v>234</v>
      </c>
      <c r="I32" s="22" t="s">
        <v>235</v>
      </c>
      <c r="J32" s="22">
        <v>2007</v>
      </c>
      <c r="K32" s="22"/>
      <c r="L32" s="80">
        <v>250</v>
      </c>
      <c r="M32" s="80"/>
      <c r="N32" s="80">
        <v>250</v>
      </c>
      <c r="O32" s="80" t="s">
        <v>236</v>
      </c>
      <c r="P32" s="22"/>
      <c r="Q32" s="22" t="s">
        <v>237</v>
      </c>
      <c r="R32" s="22" t="s">
        <v>238</v>
      </c>
      <c r="S32" s="88" t="s">
        <v>239</v>
      </c>
      <c r="T32" s="22"/>
      <c r="U32" s="22" t="s">
        <v>240</v>
      </c>
      <c r="V32" s="22" t="s">
        <v>241</v>
      </c>
    </row>
    <row r="33" spans="2:22" ht="15" customHeight="1" x14ac:dyDescent="0.3">
      <c r="B33" s="22">
        <v>26</v>
      </c>
      <c r="C33" s="22" t="s">
        <v>230</v>
      </c>
      <c r="D33" s="22"/>
      <c r="E33" s="75" t="s">
        <v>242</v>
      </c>
      <c r="F33" s="22" t="s">
        <v>243</v>
      </c>
      <c r="G33" s="22" t="s">
        <v>244</v>
      </c>
      <c r="H33" s="22" t="s">
        <v>234</v>
      </c>
      <c r="I33" s="22" t="s">
        <v>235</v>
      </c>
      <c r="J33" s="22">
        <v>2018</v>
      </c>
      <c r="K33" s="58"/>
      <c r="L33" s="81">
        <v>200</v>
      </c>
      <c r="M33" s="81"/>
      <c r="N33" s="81">
        <v>200</v>
      </c>
      <c r="O33" s="73" t="s">
        <v>245</v>
      </c>
      <c r="P33" s="49"/>
      <c r="Q33" s="22" t="s">
        <v>246</v>
      </c>
      <c r="R33" s="22" t="s">
        <v>247</v>
      </c>
      <c r="S33" s="88" t="s">
        <v>248</v>
      </c>
      <c r="T33" s="22"/>
      <c r="U33" s="22" t="s">
        <v>249</v>
      </c>
      <c r="V33" s="22" t="s">
        <v>250</v>
      </c>
    </row>
    <row r="34" spans="2:22" ht="15" customHeight="1" x14ac:dyDescent="0.3">
      <c r="B34" s="22">
        <v>27</v>
      </c>
      <c r="C34" s="22" t="s">
        <v>230</v>
      </c>
      <c r="D34" s="22"/>
      <c r="E34" s="75" t="s">
        <v>251</v>
      </c>
      <c r="F34" s="22" t="s">
        <v>243</v>
      </c>
      <c r="G34" s="22" t="s">
        <v>244</v>
      </c>
      <c r="H34" s="22" t="s">
        <v>252</v>
      </c>
      <c r="I34" s="22" t="s">
        <v>235</v>
      </c>
      <c r="J34" s="22">
        <v>1967</v>
      </c>
      <c r="K34" s="58"/>
      <c r="L34" s="81">
        <v>350</v>
      </c>
      <c r="M34" s="81"/>
      <c r="N34" s="81">
        <v>350</v>
      </c>
      <c r="O34" s="73" t="s">
        <v>245</v>
      </c>
      <c r="P34" s="49"/>
      <c r="Q34" s="49" t="s">
        <v>246</v>
      </c>
      <c r="R34" s="22" t="s">
        <v>247</v>
      </c>
      <c r="S34" s="88" t="s">
        <v>248</v>
      </c>
      <c r="T34" s="22"/>
      <c r="U34" s="22" t="s">
        <v>249</v>
      </c>
      <c r="V34" s="22" t="s">
        <v>250</v>
      </c>
    </row>
    <row r="35" spans="2:22" ht="15" customHeight="1" x14ac:dyDescent="0.3">
      <c r="B35" s="22">
        <v>28</v>
      </c>
      <c r="C35" s="22" t="s">
        <v>230</v>
      </c>
      <c r="D35" s="22"/>
      <c r="E35" s="75" t="s">
        <v>253</v>
      </c>
      <c r="F35" s="22" t="s">
        <v>243</v>
      </c>
      <c r="G35" s="22" t="s">
        <v>244</v>
      </c>
      <c r="H35" s="22" t="s">
        <v>254</v>
      </c>
      <c r="I35" s="22" t="s">
        <v>235</v>
      </c>
      <c r="J35" s="22">
        <v>2002</v>
      </c>
      <c r="K35" s="58"/>
      <c r="L35" s="81">
        <v>570</v>
      </c>
      <c r="M35" s="81">
        <v>30</v>
      </c>
      <c r="N35" s="81">
        <v>600</v>
      </c>
      <c r="O35" s="73" t="s">
        <v>255</v>
      </c>
      <c r="P35" s="49"/>
      <c r="Q35" s="22" t="s">
        <v>256</v>
      </c>
      <c r="R35" s="22" t="s">
        <v>238</v>
      </c>
      <c r="S35" s="88" t="s">
        <v>239</v>
      </c>
      <c r="T35" s="22"/>
      <c r="U35" s="22" t="s">
        <v>249</v>
      </c>
      <c r="V35" s="22" t="s">
        <v>250</v>
      </c>
    </row>
    <row r="36" spans="2:22" ht="15" customHeight="1" x14ac:dyDescent="0.3">
      <c r="B36" s="22">
        <v>29</v>
      </c>
      <c r="C36" s="22" t="s">
        <v>230</v>
      </c>
      <c r="D36" s="8" t="s">
        <v>257</v>
      </c>
      <c r="E36" s="8" t="s">
        <v>258</v>
      </c>
      <c r="F36" s="8" t="s">
        <v>259</v>
      </c>
      <c r="G36" s="22" t="s">
        <v>260</v>
      </c>
      <c r="H36" s="8" t="s">
        <v>261</v>
      </c>
      <c r="I36" s="8" t="s">
        <v>235</v>
      </c>
      <c r="J36" s="22" t="s">
        <v>262</v>
      </c>
      <c r="K36" s="22"/>
      <c r="L36" s="80">
        <v>450</v>
      </c>
      <c r="M36" s="80"/>
      <c r="N36" s="80">
        <v>450</v>
      </c>
      <c r="O36" s="82" t="s">
        <v>263</v>
      </c>
      <c r="P36" s="8" t="s">
        <v>264</v>
      </c>
      <c r="Q36" s="8" t="s">
        <v>265</v>
      </c>
      <c r="R36" s="8" t="s">
        <v>266</v>
      </c>
      <c r="S36" s="84" t="s">
        <v>267</v>
      </c>
      <c r="T36" s="22"/>
      <c r="U36" s="22" t="s">
        <v>268</v>
      </c>
      <c r="V36" s="22" t="s">
        <v>269</v>
      </c>
    </row>
    <row r="37" spans="2:22" ht="15" customHeight="1" x14ac:dyDescent="0.3">
      <c r="B37" s="22">
        <v>30</v>
      </c>
      <c r="C37" s="8" t="s">
        <v>230</v>
      </c>
      <c r="D37" s="8" t="s">
        <v>257</v>
      </c>
      <c r="E37" s="8" t="s">
        <v>270</v>
      </c>
      <c r="F37" s="8" t="s">
        <v>271</v>
      </c>
      <c r="G37" s="22" t="s">
        <v>272</v>
      </c>
      <c r="H37" s="8" t="s">
        <v>261</v>
      </c>
      <c r="I37" s="8" t="s">
        <v>235</v>
      </c>
      <c r="J37" s="8" t="s">
        <v>273</v>
      </c>
      <c r="K37" s="8"/>
      <c r="L37" s="82">
        <v>90</v>
      </c>
      <c r="M37" s="82"/>
      <c r="N37" s="82">
        <v>90</v>
      </c>
      <c r="O37" s="82"/>
      <c r="P37" s="8"/>
      <c r="Q37" s="8" t="s">
        <v>274</v>
      </c>
      <c r="R37" s="8" t="s">
        <v>274</v>
      </c>
      <c r="S37" s="84" t="s">
        <v>274</v>
      </c>
      <c r="T37" s="8"/>
      <c r="U37" s="8" t="s">
        <v>275</v>
      </c>
      <c r="V37" s="8" t="s">
        <v>276</v>
      </c>
    </row>
    <row r="38" spans="2:22" ht="15" customHeight="1" x14ac:dyDescent="0.3">
      <c r="B38" s="22">
        <v>31</v>
      </c>
      <c r="C38" s="22" t="s">
        <v>230</v>
      </c>
      <c r="D38" s="22" t="s">
        <v>277</v>
      </c>
      <c r="E38" s="83" t="s">
        <v>278</v>
      </c>
      <c r="F38" s="22" t="s">
        <v>279</v>
      </c>
      <c r="G38" s="74" t="s">
        <v>280</v>
      </c>
      <c r="H38" s="84" t="s">
        <v>281</v>
      </c>
      <c r="I38" s="22" t="s">
        <v>235</v>
      </c>
      <c r="J38" s="22">
        <v>2009</v>
      </c>
      <c r="K38" s="85"/>
      <c r="L38" s="86">
        <v>170</v>
      </c>
      <c r="M38" s="86"/>
      <c r="N38" s="86">
        <v>170</v>
      </c>
      <c r="O38" s="87" t="s">
        <v>282</v>
      </c>
      <c r="P38" s="22" t="s">
        <v>283</v>
      </c>
      <c r="Q38" s="22" t="s">
        <v>284</v>
      </c>
      <c r="R38" s="22" t="s">
        <v>285</v>
      </c>
      <c r="S38" s="84" t="s">
        <v>286</v>
      </c>
      <c r="T38" s="88"/>
      <c r="U38" s="22" t="s">
        <v>287</v>
      </c>
      <c r="V38" s="22" t="s">
        <v>288</v>
      </c>
    </row>
    <row r="39" spans="2:22" ht="15" customHeight="1" x14ac:dyDescent="0.3">
      <c r="B39" s="22">
        <v>32</v>
      </c>
      <c r="C39" s="22" t="s">
        <v>230</v>
      </c>
      <c r="D39" s="22" t="s">
        <v>277</v>
      </c>
      <c r="E39" s="22" t="s">
        <v>289</v>
      </c>
      <c r="F39" s="22" t="s">
        <v>279</v>
      </c>
      <c r="G39" s="22" t="s">
        <v>290</v>
      </c>
      <c r="H39" s="84" t="s">
        <v>291</v>
      </c>
      <c r="I39" s="22" t="s">
        <v>292</v>
      </c>
      <c r="J39" s="22">
        <v>1995</v>
      </c>
      <c r="K39" s="89"/>
      <c r="L39" s="86">
        <v>1250</v>
      </c>
      <c r="M39" s="86"/>
      <c r="N39" s="86">
        <v>1250</v>
      </c>
      <c r="O39" s="82" t="s">
        <v>293</v>
      </c>
      <c r="P39" s="22" t="s">
        <v>283</v>
      </c>
      <c r="Q39" s="22" t="s">
        <v>294</v>
      </c>
      <c r="R39" s="22" t="s">
        <v>247</v>
      </c>
      <c r="S39" s="84" t="s">
        <v>295</v>
      </c>
      <c r="T39" s="22" t="s">
        <v>296</v>
      </c>
      <c r="U39" s="22" t="s">
        <v>297</v>
      </c>
      <c r="V39" s="22" t="s">
        <v>298</v>
      </c>
    </row>
    <row r="40" spans="2:22" ht="15" customHeight="1" x14ac:dyDescent="0.3">
      <c r="B40" s="22">
        <v>33</v>
      </c>
      <c r="C40" s="22" t="s">
        <v>230</v>
      </c>
      <c r="D40" s="22" t="s">
        <v>277</v>
      </c>
      <c r="E40" s="22" t="s">
        <v>299</v>
      </c>
      <c r="F40" s="22" t="s">
        <v>279</v>
      </c>
      <c r="G40" s="22" t="s">
        <v>300</v>
      </c>
      <c r="H40" s="84" t="s">
        <v>301</v>
      </c>
      <c r="I40" s="22" t="s">
        <v>235</v>
      </c>
      <c r="J40" s="22">
        <v>2022</v>
      </c>
      <c r="K40" s="85"/>
      <c r="L40" s="86">
        <v>80</v>
      </c>
      <c r="M40" s="86"/>
      <c r="N40" s="86">
        <v>80</v>
      </c>
      <c r="O40" s="82" t="s">
        <v>302</v>
      </c>
      <c r="P40" s="22" t="s">
        <v>302</v>
      </c>
      <c r="Q40" s="25" t="s">
        <v>303</v>
      </c>
      <c r="R40" s="22" t="s">
        <v>304</v>
      </c>
      <c r="S40" s="84" t="s">
        <v>286</v>
      </c>
      <c r="T40" s="88"/>
      <c r="U40" s="22" t="s">
        <v>305</v>
      </c>
      <c r="V40" s="22" t="s">
        <v>306</v>
      </c>
    </row>
    <row r="41" spans="2:22" ht="15" customHeight="1" x14ac:dyDescent="0.3">
      <c r="B41" s="22">
        <v>34</v>
      </c>
      <c r="C41" s="22" t="s">
        <v>230</v>
      </c>
      <c r="D41" s="22" t="s">
        <v>277</v>
      </c>
      <c r="E41" s="83" t="s">
        <v>307</v>
      </c>
      <c r="F41" s="22" t="s">
        <v>279</v>
      </c>
      <c r="G41" s="83" t="s">
        <v>308</v>
      </c>
      <c r="H41" s="90" t="s">
        <v>309</v>
      </c>
      <c r="I41" s="22" t="s">
        <v>235</v>
      </c>
      <c r="J41" s="22">
        <v>2019</v>
      </c>
      <c r="K41" s="85"/>
      <c r="L41" s="86">
        <v>100</v>
      </c>
      <c r="M41" s="86"/>
      <c r="N41" s="86">
        <v>100</v>
      </c>
      <c r="O41" s="82" t="s">
        <v>310</v>
      </c>
      <c r="P41" s="22" t="s">
        <v>283</v>
      </c>
      <c r="Q41" s="22" t="s">
        <v>311</v>
      </c>
      <c r="R41" s="22" t="s">
        <v>285</v>
      </c>
      <c r="S41" s="84" t="s">
        <v>286</v>
      </c>
      <c r="T41" s="22" t="s">
        <v>296</v>
      </c>
      <c r="U41" s="22" t="s">
        <v>312</v>
      </c>
      <c r="V41" s="22" t="s">
        <v>313</v>
      </c>
    </row>
    <row r="42" spans="2:22" ht="15" customHeight="1" x14ac:dyDescent="0.3">
      <c r="B42" s="22">
        <v>35</v>
      </c>
      <c r="C42" s="22" t="s">
        <v>230</v>
      </c>
      <c r="D42" s="22" t="s">
        <v>277</v>
      </c>
      <c r="E42" s="22" t="s">
        <v>314</v>
      </c>
      <c r="F42" s="22" t="s">
        <v>279</v>
      </c>
      <c r="G42" s="22" t="s">
        <v>315</v>
      </c>
      <c r="H42" s="84" t="s">
        <v>316</v>
      </c>
      <c r="I42" s="22" t="s">
        <v>235</v>
      </c>
      <c r="J42" s="22">
        <v>2022</v>
      </c>
      <c r="K42" s="85"/>
      <c r="L42" s="86">
        <v>70</v>
      </c>
      <c r="M42" s="86">
        <v>7</v>
      </c>
      <c r="N42" s="86">
        <v>77</v>
      </c>
      <c r="O42" s="82" t="s">
        <v>302</v>
      </c>
      <c r="P42" s="22" t="s">
        <v>302</v>
      </c>
      <c r="Q42" s="22" t="s">
        <v>284</v>
      </c>
      <c r="R42" s="22" t="s">
        <v>285</v>
      </c>
      <c r="S42" s="84" t="s">
        <v>286</v>
      </c>
      <c r="T42" s="88"/>
      <c r="U42" s="22" t="s">
        <v>317</v>
      </c>
      <c r="V42" s="22" t="s">
        <v>318</v>
      </c>
    </row>
    <row r="43" spans="2:22" ht="15" customHeight="1" x14ac:dyDescent="0.3">
      <c r="B43" s="22">
        <v>36</v>
      </c>
      <c r="C43" s="22" t="s">
        <v>230</v>
      </c>
      <c r="D43" s="22" t="s">
        <v>277</v>
      </c>
      <c r="E43" s="83" t="s">
        <v>319</v>
      </c>
      <c r="F43" s="22" t="s">
        <v>279</v>
      </c>
      <c r="G43" s="22" t="s">
        <v>320</v>
      </c>
      <c r="H43" s="84" t="s">
        <v>321</v>
      </c>
      <c r="I43" s="22" t="s">
        <v>235</v>
      </c>
      <c r="J43" s="22">
        <v>2017</v>
      </c>
      <c r="K43" s="85"/>
      <c r="L43" s="86">
        <v>220</v>
      </c>
      <c r="M43" s="86"/>
      <c r="N43" s="86">
        <v>220</v>
      </c>
      <c r="O43" s="82" t="s">
        <v>322</v>
      </c>
      <c r="P43" s="22" t="s">
        <v>283</v>
      </c>
      <c r="Q43" s="25" t="s">
        <v>303</v>
      </c>
      <c r="R43" s="22" t="s">
        <v>304</v>
      </c>
      <c r="S43" s="84" t="s">
        <v>286</v>
      </c>
      <c r="T43" s="88"/>
      <c r="U43" s="22" t="s">
        <v>305</v>
      </c>
      <c r="V43" s="22" t="s">
        <v>306</v>
      </c>
    </row>
    <row r="44" spans="2:22" ht="15" customHeight="1" x14ac:dyDescent="0.3">
      <c r="B44" s="22">
        <v>37</v>
      </c>
      <c r="C44" s="22" t="s">
        <v>230</v>
      </c>
      <c r="D44" s="22" t="s">
        <v>277</v>
      </c>
      <c r="E44" s="8" t="s">
        <v>323</v>
      </c>
      <c r="F44" s="22" t="s">
        <v>279</v>
      </c>
      <c r="G44" s="22" t="s">
        <v>324</v>
      </c>
      <c r="H44" s="84" t="s">
        <v>325</v>
      </c>
      <c r="I44" s="22" t="s">
        <v>235</v>
      </c>
      <c r="J44" s="22">
        <v>2022</v>
      </c>
      <c r="K44" s="85"/>
      <c r="L44" s="86">
        <v>110</v>
      </c>
      <c r="M44" s="86"/>
      <c r="N44" s="86">
        <v>110</v>
      </c>
      <c r="O44" s="87" t="s">
        <v>326</v>
      </c>
      <c r="P44" s="22" t="s">
        <v>283</v>
      </c>
      <c r="Q44" s="22" t="s">
        <v>327</v>
      </c>
      <c r="R44" s="22" t="s">
        <v>327</v>
      </c>
      <c r="S44" s="84" t="s">
        <v>328</v>
      </c>
      <c r="T44" s="88"/>
      <c r="U44" s="22" t="s">
        <v>329</v>
      </c>
      <c r="V44" s="22" t="s">
        <v>330</v>
      </c>
    </row>
    <row r="45" spans="2:22" ht="15" customHeight="1" x14ac:dyDescent="0.3">
      <c r="B45" s="22">
        <v>38</v>
      </c>
      <c r="C45" s="22" t="s">
        <v>230</v>
      </c>
      <c r="D45" s="22" t="s">
        <v>277</v>
      </c>
      <c r="E45" s="83" t="s">
        <v>331</v>
      </c>
      <c r="F45" s="22" t="s">
        <v>279</v>
      </c>
      <c r="G45" s="22" t="s">
        <v>324</v>
      </c>
      <c r="H45" s="84" t="s">
        <v>252</v>
      </c>
      <c r="I45" s="22" t="s">
        <v>235</v>
      </c>
      <c r="J45" s="22">
        <v>2015</v>
      </c>
      <c r="K45" s="85"/>
      <c r="L45" s="86">
        <v>150</v>
      </c>
      <c r="M45" s="86"/>
      <c r="N45" s="86">
        <v>150</v>
      </c>
      <c r="O45" s="87" t="s">
        <v>326</v>
      </c>
      <c r="P45" s="22" t="s">
        <v>283</v>
      </c>
      <c r="Q45" s="22" t="s">
        <v>332</v>
      </c>
      <c r="R45" s="22" t="s">
        <v>285</v>
      </c>
      <c r="S45" s="84" t="s">
        <v>286</v>
      </c>
      <c r="T45" s="88"/>
      <c r="U45" s="22" t="s">
        <v>287</v>
      </c>
      <c r="V45" s="22" t="s">
        <v>288</v>
      </c>
    </row>
    <row r="46" spans="2:22" ht="15" customHeight="1" x14ac:dyDescent="0.3">
      <c r="B46" s="22">
        <v>39</v>
      </c>
      <c r="C46" s="22" t="s">
        <v>230</v>
      </c>
      <c r="D46" s="22" t="s">
        <v>277</v>
      </c>
      <c r="E46" s="8" t="s">
        <v>333</v>
      </c>
      <c r="F46" s="22" t="s">
        <v>279</v>
      </c>
      <c r="G46" s="22" t="s">
        <v>334</v>
      </c>
      <c r="H46" s="84" t="s">
        <v>252</v>
      </c>
      <c r="I46" s="22" t="s">
        <v>235</v>
      </c>
      <c r="J46" s="22">
        <v>2020</v>
      </c>
      <c r="K46" s="85"/>
      <c r="L46" s="86">
        <v>200</v>
      </c>
      <c r="M46" s="86"/>
      <c r="N46" s="86">
        <v>200</v>
      </c>
      <c r="O46" s="87" t="s">
        <v>282</v>
      </c>
      <c r="P46" s="22" t="s">
        <v>283</v>
      </c>
      <c r="Q46" s="22" t="s">
        <v>335</v>
      </c>
      <c r="R46" s="22" t="s">
        <v>285</v>
      </c>
      <c r="S46" s="84" t="s">
        <v>286</v>
      </c>
      <c r="T46" s="88"/>
      <c r="U46" s="22" t="s">
        <v>287</v>
      </c>
      <c r="V46" s="22" t="s">
        <v>288</v>
      </c>
    </row>
    <row r="47" spans="2:22" ht="15" customHeight="1" x14ac:dyDescent="0.3">
      <c r="B47" s="22">
        <v>40</v>
      </c>
      <c r="C47" s="22" t="s">
        <v>230</v>
      </c>
      <c r="D47" s="22" t="s">
        <v>277</v>
      </c>
      <c r="E47" s="22" t="s">
        <v>336</v>
      </c>
      <c r="F47" s="22" t="s">
        <v>279</v>
      </c>
      <c r="G47" s="22" t="s">
        <v>334</v>
      </c>
      <c r="H47" s="84" t="s">
        <v>337</v>
      </c>
      <c r="I47" s="22" t="s">
        <v>235</v>
      </c>
      <c r="J47" s="22">
        <v>2021</v>
      </c>
      <c r="K47" s="85"/>
      <c r="L47" s="86">
        <v>150</v>
      </c>
      <c r="M47" s="86">
        <v>18</v>
      </c>
      <c r="N47" s="86">
        <v>168</v>
      </c>
      <c r="O47" s="82" t="s">
        <v>338</v>
      </c>
      <c r="P47" s="22" t="s">
        <v>274</v>
      </c>
      <c r="Q47" s="22" t="s">
        <v>311</v>
      </c>
      <c r="R47" s="22" t="s">
        <v>285</v>
      </c>
      <c r="S47" s="84" t="s">
        <v>286</v>
      </c>
      <c r="T47" s="88"/>
      <c r="U47" s="22" t="s">
        <v>317</v>
      </c>
      <c r="V47" s="22" t="s">
        <v>318</v>
      </c>
    </row>
    <row r="48" spans="2:22" ht="15" customHeight="1" x14ac:dyDescent="0.3">
      <c r="B48" s="22">
        <v>41</v>
      </c>
      <c r="C48" s="22" t="s">
        <v>230</v>
      </c>
      <c r="D48" s="22" t="s">
        <v>277</v>
      </c>
      <c r="E48" s="22" t="s">
        <v>339</v>
      </c>
      <c r="F48" s="22" t="s">
        <v>279</v>
      </c>
      <c r="G48" s="22" t="s">
        <v>340</v>
      </c>
      <c r="H48" s="84" t="s">
        <v>341</v>
      </c>
      <c r="I48" s="22" t="s">
        <v>292</v>
      </c>
      <c r="J48" s="22">
        <v>2022</v>
      </c>
      <c r="K48" s="85"/>
      <c r="L48" s="86">
        <v>150</v>
      </c>
      <c r="M48" s="91">
        <v>15</v>
      </c>
      <c r="N48" s="86">
        <v>165</v>
      </c>
      <c r="O48" s="92" t="s">
        <v>302</v>
      </c>
      <c r="P48" s="25" t="s">
        <v>302</v>
      </c>
      <c r="Q48" s="25" t="s">
        <v>342</v>
      </c>
      <c r="R48" s="22" t="s">
        <v>304</v>
      </c>
      <c r="S48" s="84" t="s">
        <v>286</v>
      </c>
      <c r="T48" s="88"/>
      <c r="U48" s="22" t="s">
        <v>343</v>
      </c>
      <c r="V48" s="22" t="s">
        <v>344</v>
      </c>
    </row>
    <row r="49" spans="2:22" ht="15" customHeight="1" x14ac:dyDescent="0.3">
      <c r="B49" s="22">
        <v>42</v>
      </c>
      <c r="C49" s="22" t="s">
        <v>230</v>
      </c>
      <c r="D49" s="22" t="s">
        <v>345</v>
      </c>
      <c r="E49" s="22" t="s">
        <v>346</v>
      </c>
      <c r="F49" s="22" t="s">
        <v>232</v>
      </c>
      <c r="G49" s="22" t="s">
        <v>347</v>
      </c>
      <c r="H49" s="8" t="s">
        <v>348</v>
      </c>
      <c r="I49" s="22" t="s">
        <v>255</v>
      </c>
      <c r="J49" s="22"/>
      <c r="K49" s="22"/>
      <c r="L49" s="80">
        <v>20</v>
      </c>
      <c r="M49" s="80"/>
      <c r="N49" s="80">
        <v>20</v>
      </c>
      <c r="O49" s="82" t="s">
        <v>349</v>
      </c>
      <c r="P49" s="22"/>
      <c r="Q49" s="22"/>
      <c r="R49" s="22"/>
      <c r="S49" s="88"/>
      <c r="T49" s="22"/>
      <c r="U49" s="22" t="s">
        <v>350</v>
      </c>
      <c r="V49" s="22" t="s">
        <v>351</v>
      </c>
    </row>
    <row r="50" spans="2:22" ht="15" customHeight="1" x14ac:dyDescent="0.3">
      <c r="B50" s="22">
        <v>43</v>
      </c>
      <c r="C50" s="22" t="s">
        <v>230</v>
      </c>
      <c r="D50" s="22" t="s">
        <v>345</v>
      </c>
      <c r="E50" s="22" t="s">
        <v>352</v>
      </c>
      <c r="F50" s="22" t="s">
        <v>232</v>
      </c>
      <c r="G50" s="22" t="s">
        <v>353</v>
      </c>
      <c r="H50" s="8" t="s">
        <v>354</v>
      </c>
      <c r="I50" s="22" t="s">
        <v>235</v>
      </c>
      <c r="J50" s="22"/>
      <c r="K50" s="22"/>
      <c r="L50" s="80">
        <v>500</v>
      </c>
      <c r="M50" s="80"/>
      <c r="N50" s="80">
        <v>500</v>
      </c>
      <c r="O50" s="82" t="s">
        <v>355</v>
      </c>
      <c r="P50" s="22"/>
      <c r="Q50" s="22" t="s">
        <v>356</v>
      </c>
      <c r="R50" s="22" t="s">
        <v>357</v>
      </c>
      <c r="S50" s="88" t="s">
        <v>358</v>
      </c>
      <c r="T50" s="22"/>
      <c r="U50" s="22" t="s">
        <v>359</v>
      </c>
      <c r="V50" s="22" t="s">
        <v>360</v>
      </c>
    </row>
    <row r="51" spans="2:22" ht="15" customHeight="1" x14ac:dyDescent="0.3">
      <c r="B51" s="22">
        <v>44</v>
      </c>
      <c r="C51" s="22" t="s">
        <v>230</v>
      </c>
      <c r="D51" s="22" t="s">
        <v>361</v>
      </c>
      <c r="E51" s="22" t="s">
        <v>362</v>
      </c>
      <c r="F51" s="22" t="s">
        <v>243</v>
      </c>
      <c r="G51" s="22" t="s">
        <v>363</v>
      </c>
      <c r="H51" s="8" t="s">
        <v>364</v>
      </c>
      <c r="I51" s="22" t="s">
        <v>292</v>
      </c>
      <c r="J51" s="22" t="s">
        <v>365</v>
      </c>
      <c r="K51" s="22"/>
      <c r="L51" s="80">
        <v>600</v>
      </c>
      <c r="M51" s="80">
        <v>0</v>
      </c>
      <c r="N51" s="80">
        <v>600</v>
      </c>
      <c r="O51" s="82" t="s">
        <v>366</v>
      </c>
      <c r="P51" s="8" t="s">
        <v>366</v>
      </c>
      <c r="Q51" s="8" t="s">
        <v>367</v>
      </c>
      <c r="R51" s="8" t="s">
        <v>357</v>
      </c>
      <c r="S51" s="84" t="s">
        <v>368</v>
      </c>
      <c r="T51" s="22"/>
      <c r="U51" s="22" t="s">
        <v>369</v>
      </c>
      <c r="V51" s="22" t="s">
        <v>370</v>
      </c>
    </row>
    <row r="52" spans="2:22" ht="15" customHeight="1" x14ac:dyDescent="0.3">
      <c r="B52" s="22">
        <v>45</v>
      </c>
      <c r="C52" s="22" t="s">
        <v>6</v>
      </c>
      <c r="D52" s="22" t="s">
        <v>371</v>
      </c>
      <c r="E52" s="22" t="s">
        <v>372</v>
      </c>
      <c r="F52" s="22" t="s">
        <v>259</v>
      </c>
      <c r="G52" s="22" t="s">
        <v>373</v>
      </c>
      <c r="H52" s="8" t="s">
        <v>374</v>
      </c>
      <c r="I52" s="22" t="s">
        <v>292</v>
      </c>
      <c r="J52" s="22">
        <v>2000</v>
      </c>
      <c r="K52" s="80">
        <v>30</v>
      </c>
      <c r="L52" s="80">
        <v>850</v>
      </c>
      <c r="M52" s="80">
        <v>0</v>
      </c>
      <c r="N52" s="80">
        <v>880</v>
      </c>
      <c r="O52" s="82" t="s">
        <v>375</v>
      </c>
      <c r="P52" s="8"/>
      <c r="Q52" s="8" t="s">
        <v>376</v>
      </c>
      <c r="R52" s="8" t="s">
        <v>247</v>
      </c>
      <c r="S52" s="84" t="s">
        <v>377</v>
      </c>
      <c r="T52" s="22" t="s">
        <v>378</v>
      </c>
      <c r="U52" s="22" t="s">
        <v>379</v>
      </c>
      <c r="V52" s="22" t="s">
        <v>380</v>
      </c>
    </row>
    <row r="53" spans="2:22" ht="15" customHeight="1" x14ac:dyDescent="0.3">
      <c r="B53" s="22">
        <v>46</v>
      </c>
      <c r="C53" s="22" t="s">
        <v>7</v>
      </c>
      <c r="D53" s="22" t="s">
        <v>68</v>
      </c>
      <c r="E53" s="22" t="s">
        <v>381</v>
      </c>
      <c r="F53" s="22" t="s">
        <v>55</v>
      </c>
      <c r="G53" s="22" t="s">
        <v>167</v>
      </c>
      <c r="H53" s="22" t="s">
        <v>382</v>
      </c>
      <c r="I53" s="22" t="s">
        <v>51</v>
      </c>
      <c r="J53" s="22">
        <v>2013</v>
      </c>
      <c r="K53" s="22">
        <v>0</v>
      </c>
      <c r="L53" s="22">
        <v>900</v>
      </c>
      <c r="M53" s="22">
        <v>0</v>
      </c>
      <c r="N53" s="22">
        <v>900</v>
      </c>
      <c r="O53" s="22" t="s">
        <v>383</v>
      </c>
      <c r="P53" s="22" t="s">
        <v>384</v>
      </c>
      <c r="Q53" s="22" t="s">
        <v>385</v>
      </c>
      <c r="R53" s="22" t="s">
        <v>42</v>
      </c>
      <c r="S53" s="88" t="s">
        <v>386</v>
      </c>
      <c r="T53" s="22" t="s">
        <v>68</v>
      </c>
      <c r="U53" s="22" t="s">
        <v>387</v>
      </c>
      <c r="V53" s="22" t="s">
        <v>388</v>
      </c>
    </row>
    <row r="54" spans="2:22" ht="15" customHeight="1" x14ac:dyDescent="0.3">
      <c r="B54" s="22">
        <v>47</v>
      </c>
      <c r="C54" s="22" t="s">
        <v>7</v>
      </c>
      <c r="D54" s="22" t="s">
        <v>68</v>
      </c>
      <c r="E54" s="22" t="s">
        <v>389</v>
      </c>
      <c r="F54" s="22" t="s">
        <v>390</v>
      </c>
      <c r="G54" s="22" t="s">
        <v>391</v>
      </c>
      <c r="H54" s="22" t="s">
        <v>392</v>
      </c>
      <c r="I54" s="22" t="s">
        <v>67</v>
      </c>
      <c r="J54" s="22">
        <v>2003</v>
      </c>
      <c r="K54" s="22">
        <v>0</v>
      </c>
      <c r="L54" s="22">
        <v>300</v>
      </c>
      <c r="M54" s="22">
        <v>0</v>
      </c>
      <c r="N54" s="22">
        <v>300</v>
      </c>
      <c r="O54" s="22" t="s">
        <v>393</v>
      </c>
      <c r="P54" s="22" t="s">
        <v>68</v>
      </c>
      <c r="Q54" s="22" t="s">
        <v>394</v>
      </c>
      <c r="R54" s="22" t="s">
        <v>395</v>
      </c>
      <c r="S54" s="88" t="s">
        <v>68</v>
      </c>
      <c r="T54" s="22" t="s">
        <v>68</v>
      </c>
      <c r="U54" s="22" t="s">
        <v>396</v>
      </c>
      <c r="V54" s="22" t="s">
        <v>397</v>
      </c>
    </row>
    <row r="55" spans="2:22" ht="15" customHeight="1" x14ac:dyDescent="0.3">
      <c r="B55" s="22">
        <v>48</v>
      </c>
      <c r="C55" s="22" t="s">
        <v>7</v>
      </c>
      <c r="D55" s="22" t="s">
        <v>68</v>
      </c>
      <c r="E55" s="22" t="s">
        <v>398</v>
      </c>
      <c r="F55" s="22" t="s">
        <v>55</v>
      </c>
      <c r="G55" s="22" t="s">
        <v>399</v>
      </c>
      <c r="H55" s="22" t="s">
        <v>400</v>
      </c>
      <c r="I55" s="22" t="s">
        <v>67</v>
      </c>
      <c r="J55" s="22">
        <v>2018</v>
      </c>
      <c r="K55" s="22">
        <v>0</v>
      </c>
      <c r="L55" s="22">
        <v>70</v>
      </c>
      <c r="M55" s="22">
        <v>0</v>
      </c>
      <c r="N55" s="22">
        <v>70</v>
      </c>
      <c r="O55" s="22" t="s">
        <v>401</v>
      </c>
      <c r="P55" s="22" t="s">
        <v>68</v>
      </c>
      <c r="Q55" s="22" t="s">
        <v>402</v>
      </c>
      <c r="R55" s="22" t="s">
        <v>68</v>
      </c>
      <c r="S55" s="88" t="s">
        <v>68</v>
      </c>
      <c r="T55" s="22" t="s">
        <v>68</v>
      </c>
      <c r="U55" s="22" t="s">
        <v>403</v>
      </c>
      <c r="V55" s="22" t="s">
        <v>404</v>
      </c>
    </row>
    <row r="56" spans="2:22" ht="15" customHeight="1" x14ac:dyDescent="0.3">
      <c r="B56" s="22">
        <v>49</v>
      </c>
      <c r="C56" s="22" t="s">
        <v>7</v>
      </c>
      <c r="D56" s="22" t="s">
        <v>68</v>
      </c>
      <c r="E56" s="22" t="s">
        <v>405</v>
      </c>
      <c r="F56" s="22" t="s">
        <v>50</v>
      </c>
      <c r="G56" s="22" t="s">
        <v>167</v>
      </c>
      <c r="H56" s="22" t="s">
        <v>406</v>
      </c>
      <c r="I56" s="22" t="s">
        <v>51</v>
      </c>
      <c r="J56" s="22">
        <v>2013</v>
      </c>
      <c r="K56" s="22">
        <v>0</v>
      </c>
      <c r="L56" s="22">
        <v>60</v>
      </c>
      <c r="M56" s="22">
        <v>0</v>
      </c>
      <c r="N56" s="22">
        <v>60</v>
      </c>
      <c r="O56" s="22" t="s">
        <v>407</v>
      </c>
      <c r="P56" s="22" t="s">
        <v>68</v>
      </c>
      <c r="Q56" s="22" t="s">
        <v>68</v>
      </c>
      <c r="R56" s="22" t="s">
        <v>68</v>
      </c>
      <c r="S56" s="88" t="s">
        <v>68</v>
      </c>
      <c r="T56" s="22" t="s">
        <v>68</v>
      </c>
      <c r="U56" s="22" t="s">
        <v>408</v>
      </c>
      <c r="V56" s="22" t="s">
        <v>409</v>
      </c>
    </row>
    <row r="57" spans="2:22" ht="15" customHeight="1" x14ac:dyDescent="0.3">
      <c r="B57" s="22">
        <v>50</v>
      </c>
      <c r="C57" s="36" t="s">
        <v>1</v>
      </c>
      <c r="D57" s="36" t="s">
        <v>410</v>
      </c>
      <c r="E57" s="36" t="s">
        <v>411</v>
      </c>
      <c r="F57" s="36" t="s">
        <v>95</v>
      </c>
      <c r="G57" s="36" t="s">
        <v>412</v>
      </c>
      <c r="H57" s="5" t="s">
        <v>413</v>
      </c>
      <c r="I57" s="36" t="s">
        <v>67</v>
      </c>
      <c r="J57" s="36">
        <v>1988</v>
      </c>
      <c r="K57" s="36" t="s">
        <v>296</v>
      </c>
      <c r="L57" s="36">
        <v>350</v>
      </c>
      <c r="M57" s="36">
        <v>120</v>
      </c>
      <c r="N57" s="36">
        <v>470</v>
      </c>
      <c r="O57" s="36">
        <v>655</v>
      </c>
      <c r="P57" s="36" t="s">
        <v>296</v>
      </c>
      <c r="Q57" s="36" t="s">
        <v>414</v>
      </c>
      <c r="R57" s="36" t="s">
        <v>173</v>
      </c>
      <c r="S57" s="124" t="s">
        <v>296</v>
      </c>
      <c r="T57" s="36" t="s">
        <v>296</v>
      </c>
      <c r="U57" s="36" t="s">
        <v>415</v>
      </c>
      <c r="V57" s="36" t="s">
        <v>416</v>
      </c>
    </row>
    <row r="58" spans="2:22" ht="15" customHeight="1" x14ac:dyDescent="0.3">
      <c r="B58" s="22">
        <v>51</v>
      </c>
      <c r="C58" s="36" t="s">
        <v>1</v>
      </c>
      <c r="D58" s="5" t="s">
        <v>417</v>
      </c>
      <c r="E58" s="5" t="s">
        <v>418</v>
      </c>
      <c r="F58" s="5" t="s">
        <v>419</v>
      </c>
      <c r="G58" s="5" t="s">
        <v>420</v>
      </c>
      <c r="H58" s="5" t="s">
        <v>421</v>
      </c>
      <c r="I58" s="5" t="s">
        <v>420</v>
      </c>
      <c r="J58" s="5">
        <v>1983</v>
      </c>
      <c r="K58" s="36" t="s">
        <v>296</v>
      </c>
      <c r="L58" s="5">
        <v>12</v>
      </c>
      <c r="M58" s="5" t="s">
        <v>422</v>
      </c>
      <c r="N58" s="36" t="s">
        <v>422</v>
      </c>
      <c r="O58" s="5" t="s">
        <v>423</v>
      </c>
      <c r="P58" s="5"/>
      <c r="Q58" s="5" t="s">
        <v>424</v>
      </c>
      <c r="R58" s="5" t="s">
        <v>238</v>
      </c>
      <c r="S58" s="124" t="s">
        <v>296</v>
      </c>
      <c r="T58" s="36" t="s">
        <v>296</v>
      </c>
      <c r="U58" s="5" t="s">
        <v>425</v>
      </c>
      <c r="V58" s="5" t="s">
        <v>426</v>
      </c>
    </row>
    <row r="59" spans="2:22" ht="15" customHeight="1" x14ac:dyDescent="0.3">
      <c r="B59" s="22">
        <v>52</v>
      </c>
      <c r="C59" s="36" t="s">
        <v>1</v>
      </c>
      <c r="D59" s="5" t="s">
        <v>427</v>
      </c>
      <c r="E59" s="5" t="s">
        <v>428</v>
      </c>
      <c r="F59" s="5" t="s">
        <v>429</v>
      </c>
      <c r="G59" s="5" t="s">
        <v>430</v>
      </c>
      <c r="H59" s="5" t="s">
        <v>431</v>
      </c>
      <c r="I59" s="5" t="s">
        <v>432</v>
      </c>
      <c r="J59" s="5">
        <v>2015</v>
      </c>
      <c r="K59" s="36" t="s">
        <v>296</v>
      </c>
      <c r="L59" s="5">
        <v>290</v>
      </c>
      <c r="M59" s="5">
        <v>5</v>
      </c>
      <c r="N59" s="5">
        <v>295</v>
      </c>
      <c r="O59" s="5" t="s">
        <v>423</v>
      </c>
      <c r="P59" s="5"/>
      <c r="Q59" s="5" t="s">
        <v>433</v>
      </c>
      <c r="R59" s="5" t="s">
        <v>434</v>
      </c>
      <c r="S59" s="90" t="s">
        <v>435</v>
      </c>
      <c r="T59" s="36" t="s">
        <v>296</v>
      </c>
      <c r="U59" s="5" t="s">
        <v>436</v>
      </c>
      <c r="V59" s="5" t="s">
        <v>437</v>
      </c>
    </row>
    <row r="60" spans="2:22" ht="15" customHeight="1" x14ac:dyDescent="0.3">
      <c r="B60" s="22">
        <v>53</v>
      </c>
      <c r="C60" s="36" t="s">
        <v>1</v>
      </c>
      <c r="D60" s="5" t="s">
        <v>438</v>
      </c>
      <c r="E60" s="5" t="s">
        <v>439</v>
      </c>
      <c r="F60" s="5" t="s">
        <v>271</v>
      </c>
      <c r="G60" s="5" t="s">
        <v>440</v>
      </c>
      <c r="H60" s="5" t="s">
        <v>441</v>
      </c>
      <c r="I60" s="5" t="s">
        <v>235</v>
      </c>
      <c r="J60" s="5">
        <v>2001</v>
      </c>
      <c r="K60" s="36" t="s">
        <v>296</v>
      </c>
      <c r="L60" s="5">
        <v>280</v>
      </c>
      <c r="M60" s="36" t="s">
        <v>296</v>
      </c>
      <c r="N60" s="5">
        <v>280</v>
      </c>
      <c r="O60" s="5" t="s">
        <v>423</v>
      </c>
      <c r="P60" s="5"/>
      <c r="Q60" s="5" t="s">
        <v>442</v>
      </c>
      <c r="R60" s="5" t="s">
        <v>238</v>
      </c>
      <c r="S60" s="90" t="s">
        <v>443</v>
      </c>
      <c r="T60" s="36" t="s">
        <v>296</v>
      </c>
      <c r="U60" s="5" t="s">
        <v>444</v>
      </c>
      <c r="V60" s="5" t="s">
        <v>445</v>
      </c>
    </row>
    <row r="61" spans="2:22" ht="15" customHeight="1" x14ac:dyDescent="0.3">
      <c r="B61" s="22">
        <v>54</v>
      </c>
      <c r="C61" s="36" t="s">
        <v>1</v>
      </c>
      <c r="D61" s="5" t="s">
        <v>427</v>
      </c>
      <c r="E61" s="5" t="s">
        <v>446</v>
      </c>
      <c r="F61" s="5" t="s">
        <v>447</v>
      </c>
      <c r="G61" s="5" t="s">
        <v>448</v>
      </c>
      <c r="H61" s="5" t="s">
        <v>449</v>
      </c>
      <c r="I61" s="5" t="s">
        <v>51</v>
      </c>
      <c r="J61" s="5">
        <v>2001</v>
      </c>
      <c r="K61" s="36" t="s">
        <v>296</v>
      </c>
      <c r="L61" s="5">
        <v>40</v>
      </c>
      <c r="M61" s="5">
        <v>250</v>
      </c>
      <c r="N61" s="5">
        <v>290</v>
      </c>
      <c r="O61" s="5" t="s">
        <v>423</v>
      </c>
      <c r="P61" s="5"/>
      <c r="Q61" s="5" t="s">
        <v>450</v>
      </c>
      <c r="R61" s="5" t="s">
        <v>434</v>
      </c>
      <c r="S61" s="90" t="s">
        <v>435</v>
      </c>
      <c r="T61" s="36" t="s">
        <v>296</v>
      </c>
      <c r="U61" s="5" t="s">
        <v>451</v>
      </c>
      <c r="V61" s="5" t="s">
        <v>452</v>
      </c>
    </row>
    <row r="62" spans="2:22" ht="15" customHeight="1" x14ac:dyDescent="0.3">
      <c r="B62" s="22">
        <v>55</v>
      </c>
      <c r="C62" s="36" t="s">
        <v>1</v>
      </c>
      <c r="D62" s="36" t="s">
        <v>410</v>
      </c>
      <c r="E62" s="36" t="s">
        <v>453</v>
      </c>
      <c r="F62" s="36" t="s">
        <v>95</v>
      </c>
      <c r="G62" s="36" t="s">
        <v>223</v>
      </c>
      <c r="H62" s="36" t="s">
        <v>454</v>
      </c>
      <c r="I62" s="36" t="s">
        <v>67</v>
      </c>
      <c r="J62" s="36">
        <v>2011</v>
      </c>
      <c r="K62" s="36" t="s">
        <v>296</v>
      </c>
      <c r="L62" s="36">
        <v>180</v>
      </c>
      <c r="M62" s="5" t="s">
        <v>422</v>
      </c>
      <c r="N62" s="36" t="s">
        <v>422</v>
      </c>
      <c r="O62" s="5" t="s">
        <v>455</v>
      </c>
      <c r="P62" s="5"/>
      <c r="Q62" s="5" t="s">
        <v>456</v>
      </c>
      <c r="R62" s="36" t="s">
        <v>457</v>
      </c>
      <c r="S62" s="125" t="s">
        <v>3378</v>
      </c>
      <c r="T62" s="36" t="s">
        <v>296</v>
      </c>
      <c r="U62" s="36" t="s">
        <v>415</v>
      </c>
      <c r="V62" s="36" t="s">
        <v>416</v>
      </c>
    </row>
    <row r="63" spans="2:22" ht="15" customHeight="1" x14ac:dyDescent="0.3">
      <c r="B63" s="22">
        <v>56</v>
      </c>
      <c r="C63" s="36" t="s">
        <v>1</v>
      </c>
      <c r="D63" s="5" t="s">
        <v>459</v>
      </c>
      <c r="E63" s="5" t="s">
        <v>460</v>
      </c>
      <c r="F63" s="5" t="s">
        <v>461</v>
      </c>
      <c r="G63" s="5" t="s">
        <v>462</v>
      </c>
      <c r="H63" s="5" t="s">
        <v>463</v>
      </c>
      <c r="I63" s="5" t="s">
        <v>292</v>
      </c>
      <c r="J63" s="5">
        <v>2008</v>
      </c>
      <c r="K63" s="36" t="s">
        <v>296</v>
      </c>
      <c r="L63" s="5">
        <v>60</v>
      </c>
      <c r="M63" s="36" t="s">
        <v>296</v>
      </c>
      <c r="N63" s="5">
        <v>60</v>
      </c>
      <c r="O63" s="5" t="s">
        <v>423</v>
      </c>
      <c r="P63" s="5"/>
      <c r="Q63" s="5" t="s">
        <v>464</v>
      </c>
      <c r="R63" s="5" t="s">
        <v>465</v>
      </c>
      <c r="S63" s="90" t="s">
        <v>466</v>
      </c>
      <c r="T63" s="36" t="s">
        <v>296</v>
      </c>
      <c r="U63" s="5" t="s">
        <v>467</v>
      </c>
      <c r="V63" s="5" t="s">
        <v>468</v>
      </c>
    </row>
    <row r="64" spans="2:22" ht="15" customHeight="1" x14ac:dyDescent="0.3">
      <c r="B64" s="22">
        <v>57</v>
      </c>
      <c r="C64" s="36" t="s">
        <v>1</v>
      </c>
      <c r="D64" s="5" t="s">
        <v>459</v>
      </c>
      <c r="E64" s="5" t="s">
        <v>469</v>
      </c>
      <c r="F64" s="5" t="s">
        <v>461</v>
      </c>
      <c r="G64" s="5" t="s">
        <v>462</v>
      </c>
      <c r="H64" s="5" t="s">
        <v>470</v>
      </c>
      <c r="I64" s="5" t="s">
        <v>292</v>
      </c>
      <c r="J64" s="5">
        <v>1997</v>
      </c>
      <c r="K64" s="36" t="s">
        <v>296</v>
      </c>
      <c r="L64" s="5">
        <v>100</v>
      </c>
      <c r="M64" s="36" t="s">
        <v>296</v>
      </c>
      <c r="N64" s="5">
        <v>100</v>
      </c>
      <c r="O64" s="5" t="s">
        <v>423</v>
      </c>
      <c r="P64" s="5"/>
      <c r="Q64" s="5" t="s">
        <v>471</v>
      </c>
      <c r="R64" s="5" t="s">
        <v>465</v>
      </c>
      <c r="S64" s="90" t="s">
        <v>466</v>
      </c>
      <c r="T64" s="36" t="s">
        <v>296</v>
      </c>
      <c r="U64" s="5" t="s">
        <v>472</v>
      </c>
      <c r="V64" s="5" t="s">
        <v>473</v>
      </c>
    </row>
    <row r="65" spans="2:22" ht="15" customHeight="1" x14ac:dyDescent="0.3">
      <c r="B65" s="22">
        <v>58</v>
      </c>
      <c r="C65" s="36" t="s">
        <v>1</v>
      </c>
      <c r="D65" s="5" t="s">
        <v>257</v>
      </c>
      <c r="E65" s="5" t="s">
        <v>474</v>
      </c>
      <c r="F65" s="5" t="s">
        <v>243</v>
      </c>
      <c r="G65" s="5" t="s">
        <v>475</v>
      </c>
      <c r="H65" s="5" t="s">
        <v>476</v>
      </c>
      <c r="I65" s="5" t="s">
        <v>235</v>
      </c>
      <c r="J65" s="5">
        <v>2014</v>
      </c>
      <c r="K65" s="36" t="s">
        <v>296</v>
      </c>
      <c r="L65" s="5">
        <v>50</v>
      </c>
      <c r="M65" s="5">
        <v>10</v>
      </c>
      <c r="N65" s="5">
        <v>60</v>
      </c>
      <c r="O65" s="5" t="s">
        <v>423</v>
      </c>
      <c r="P65" s="5"/>
      <c r="Q65" s="5" t="s">
        <v>477</v>
      </c>
      <c r="R65" s="5" t="s">
        <v>238</v>
      </c>
      <c r="S65" s="124" t="s">
        <v>296</v>
      </c>
      <c r="T65" s="36" t="s">
        <v>296</v>
      </c>
      <c r="U65" s="5" t="s">
        <v>478</v>
      </c>
      <c r="V65" s="5" t="s">
        <v>479</v>
      </c>
    </row>
    <row r="66" spans="2:22" ht="15" customHeight="1" x14ac:dyDescent="0.3">
      <c r="B66" s="22">
        <v>59</v>
      </c>
      <c r="C66" s="36" t="s">
        <v>1</v>
      </c>
      <c r="D66" s="5" t="s">
        <v>257</v>
      </c>
      <c r="E66" s="5" t="s">
        <v>480</v>
      </c>
      <c r="F66" s="5" t="s">
        <v>259</v>
      </c>
      <c r="G66" s="5" t="s">
        <v>481</v>
      </c>
      <c r="H66" s="5" t="s">
        <v>482</v>
      </c>
      <c r="I66" s="5" t="s">
        <v>235</v>
      </c>
      <c r="J66" s="5">
        <v>2003</v>
      </c>
      <c r="K66" s="36" t="s">
        <v>296</v>
      </c>
      <c r="L66" s="5">
        <v>500</v>
      </c>
      <c r="M66" s="36" t="s">
        <v>296</v>
      </c>
      <c r="N66" s="5">
        <v>500</v>
      </c>
      <c r="O66" s="5" t="s">
        <v>455</v>
      </c>
      <c r="P66" s="5"/>
      <c r="Q66" s="5" t="s">
        <v>483</v>
      </c>
      <c r="R66" s="5" t="s">
        <v>247</v>
      </c>
      <c r="S66" s="90" t="s">
        <v>484</v>
      </c>
      <c r="T66" s="36" t="s">
        <v>296</v>
      </c>
      <c r="U66" s="5" t="s">
        <v>478</v>
      </c>
      <c r="V66" s="5" t="s">
        <v>479</v>
      </c>
    </row>
    <row r="67" spans="2:22" ht="15" customHeight="1" x14ac:dyDescent="0.3">
      <c r="B67" s="22">
        <v>60</v>
      </c>
      <c r="C67" s="36" t="s">
        <v>1</v>
      </c>
      <c r="D67" s="36" t="s">
        <v>410</v>
      </c>
      <c r="E67" s="36" t="s">
        <v>485</v>
      </c>
      <c r="F67" s="36" t="s">
        <v>50</v>
      </c>
      <c r="G67" s="36" t="s">
        <v>220</v>
      </c>
      <c r="H67" s="5" t="s">
        <v>486</v>
      </c>
      <c r="I67" s="36" t="s">
        <v>67</v>
      </c>
      <c r="J67" s="36">
        <v>2015</v>
      </c>
      <c r="K67" s="36" t="s">
        <v>296</v>
      </c>
      <c r="L67" s="36">
        <v>150</v>
      </c>
      <c r="M67" s="36" t="s">
        <v>296</v>
      </c>
      <c r="N67" s="36">
        <v>150</v>
      </c>
      <c r="O67" s="36">
        <v>481</v>
      </c>
      <c r="P67" s="36" t="s">
        <v>296</v>
      </c>
      <c r="Q67" s="5" t="s">
        <v>456</v>
      </c>
      <c r="R67" s="36" t="s">
        <v>457</v>
      </c>
      <c r="S67" s="125" t="s">
        <v>458</v>
      </c>
      <c r="T67" s="36" t="s">
        <v>296</v>
      </c>
      <c r="U67" s="36" t="s">
        <v>415</v>
      </c>
      <c r="V67" s="36" t="s">
        <v>416</v>
      </c>
    </row>
    <row r="68" spans="2:22" ht="15" customHeight="1" x14ac:dyDescent="0.3">
      <c r="B68" s="22">
        <v>61</v>
      </c>
      <c r="C68" s="36" t="s">
        <v>1</v>
      </c>
      <c r="D68" s="36" t="s">
        <v>487</v>
      </c>
      <c r="E68" s="36" t="s">
        <v>488</v>
      </c>
      <c r="F68" s="36" t="s">
        <v>461</v>
      </c>
      <c r="G68" s="36" t="s">
        <v>489</v>
      </c>
      <c r="H68" s="5" t="s">
        <v>490</v>
      </c>
      <c r="I68" s="36" t="s">
        <v>235</v>
      </c>
      <c r="J68" s="36">
        <v>2006</v>
      </c>
      <c r="K68" s="36" t="s">
        <v>296</v>
      </c>
      <c r="L68" s="36">
        <v>10</v>
      </c>
      <c r="M68" s="36">
        <v>20</v>
      </c>
      <c r="N68" s="36">
        <v>30</v>
      </c>
      <c r="O68" s="5" t="s">
        <v>423</v>
      </c>
      <c r="P68" s="5"/>
      <c r="Q68" s="5" t="s">
        <v>491</v>
      </c>
      <c r="R68" s="36" t="s">
        <v>173</v>
      </c>
      <c r="S68" s="124" t="s">
        <v>296</v>
      </c>
      <c r="T68" s="36" t="s">
        <v>296</v>
      </c>
      <c r="U68" s="36" t="s">
        <v>492</v>
      </c>
      <c r="V68" s="36" t="s">
        <v>493</v>
      </c>
    </row>
    <row r="69" spans="2:22" ht="15" customHeight="1" x14ac:dyDescent="0.3">
      <c r="B69" s="22">
        <v>62</v>
      </c>
      <c r="C69" s="36" t="s">
        <v>1</v>
      </c>
      <c r="D69" s="5" t="s">
        <v>361</v>
      </c>
      <c r="E69" s="5" t="s">
        <v>494</v>
      </c>
      <c r="F69" s="5" t="s">
        <v>243</v>
      </c>
      <c r="G69" s="5" t="s">
        <v>495</v>
      </c>
      <c r="H69" s="5" t="s">
        <v>496</v>
      </c>
      <c r="I69" s="5" t="s">
        <v>292</v>
      </c>
      <c r="J69" s="5">
        <v>2011</v>
      </c>
      <c r="K69" s="36" t="s">
        <v>296</v>
      </c>
      <c r="L69" s="5">
        <v>330</v>
      </c>
      <c r="M69" s="5">
        <v>50</v>
      </c>
      <c r="N69" s="5">
        <v>380</v>
      </c>
      <c r="O69" s="5" t="s">
        <v>423</v>
      </c>
      <c r="P69" s="5"/>
      <c r="Q69" s="5" t="s">
        <v>497</v>
      </c>
      <c r="R69" s="5" t="s">
        <v>238</v>
      </c>
      <c r="S69" s="90" t="s">
        <v>498</v>
      </c>
      <c r="T69" s="36" t="s">
        <v>296</v>
      </c>
      <c r="U69" s="5" t="s">
        <v>499</v>
      </c>
      <c r="V69" s="5" t="s">
        <v>500</v>
      </c>
    </row>
    <row r="70" spans="2:22" ht="15" customHeight="1" x14ac:dyDescent="0.3">
      <c r="B70" s="22">
        <v>63</v>
      </c>
      <c r="C70" s="36" t="s">
        <v>1</v>
      </c>
      <c r="D70" s="5" t="s">
        <v>501</v>
      </c>
      <c r="E70" s="5" t="s">
        <v>502</v>
      </c>
      <c r="F70" s="5" t="s">
        <v>243</v>
      </c>
      <c r="G70" s="5" t="s">
        <v>503</v>
      </c>
      <c r="H70" s="5" t="s">
        <v>504</v>
      </c>
      <c r="I70" s="5" t="s">
        <v>67</v>
      </c>
      <c r="J70" s="5">
        <v>1996</v>
      </c>
      <c r="K70" s="36" t="s">
        <v>296</v>
      </c>
      <c r="L70" s="5">
        <v>250</v>
      </c>
      <c r="M70" s="36" t="s">
        <v>296</v>
      </c>
      <c r="N70" s="5">
        <v>250</v>
      </c>
      <c r="O70" s="20">
        <v>36671</v>
      </c>
      <c r="P70" s="36" t="s">
        <v>296</v>
      </c>
      <c r="Q70" s="5" t="s">
        <v>505</v>
      </c>
      <c r="R70" s="5" t="s">
        <v>247</v>
      </c>
      <c r="S70" s="90" t="s">
        <v>506</v>
      </c>
      <c r="T70" s="36" t="s">
        <v>296</v>
      </c>
      <c r="U70" s="5" t="s">
        <v>507</v>
      </c>
      <c r="V70" s="5" t="s">
        <v>508</v>
      </c>
    </row>
    <row r="71" spans="2:22" ht="15" customHeight="1" x14ac:dyDescent="0.3">
      <c r="B71" s="22">
        <v>64</v>
      </c>
      <c r="C71" s="36" t="s">
        <v>1</v>
      </c>
      <c r="D71" s="5" t="s">
        <v>417</v>
      </c>
      <c r="E71" s="5" t="s">
        <v>509</v>
      </c>
      <c r="F71" s="5" t="s">
        <v>243</v>
      </c>
      <c r="G71" s="5" t="s">
        <v>510</v>
      </c>
      <c r="H71" s="5" t="s">
        <v>421</v>
      </c>
      <c r="I71" s="5" t="s">
        <v>420</v>
      </c>
      <c r="J71" s="5">
        <v>2005</v>
      </c>
      <c r="K71" s="36" t="s">
        <v>296</v>
      </c>
      <c r="L71" s="5" t="s">
        <v>420</v>
      </c>
      <c r="M71" s="5" t="s">
        <v>420</v>
      </c>
      <c r="N71" s="5" t="s">
        <v>422</v>
      </c>
      <c r="O71" s="20">
        <v>375283</v>
      </c>
      <c r="P71" s="36" t="s">
        <v>296</v>
      </c>
      <c r="Q71" s="36" t="s">
        <v>296</v>
      </c>
      <c r="R71" s="36"/>
      <c r="S71" s="124"/>
      <c r="T71" s="36" t="s">
        <v>296</v>
      </c>
      <c r="U71" s="5" t="s">
        <v>511</v>
      </c>
      <c r="V71" s="5" t="s">
        <v>512</v>
      </c>
    </row>
    <row r="72" spans="2:22" ht="15" customHeight="1" x14ac:dyDescent="0.3">
      <c r="B72" s="22">
        <v>65</v>
      </c>
      <c r="C72" s="36" t="s">
        <v>1</v>
      </c>
      <c r="D72" s="36" t="s">
        <v>410</v>
      </c>
      <c r="E72" s="36" t="s">
        <v>513</v>
      </c>
      <c r="F72" s="36" t="s">
        <v>259</v>
      </c>
      <c r="G72" s="36" t="s">
        <v>514</v>
      </c>
      <c r="H72" s="36" t="s">
        <v>515</v>
      </c>
      <c r="I72" s="36" t="s">
        <v>292</v>
      </c>
      <c r="J72" s="36">
        <v>2008</v>
      </c>
      <c r="K72" s="36">
        <v>300</v>
      </c>
      <c r="L72" s="36">
        <v>300</v>
      </c>
      <c r="M72" s="36">
        <v>300</v>
      </c>
      <c r="N72" s="36">
        <v>900</v>
      </c>
      <c r="O72" s="93">
        <v>6000</v>
      </c>
      <c r="P72" s="36">
        <v>100</v>
      </c>
      <c r="Q72" s="36" t="s">
        <v>516</v>
      </c>
      <c r="R72" s="36" t="s">
        <v>238</v>
      </c>
      <c r="S72" s="124" t="s">
        <v>517</v>
      </c>
      <c r="T72" s="36" t="s">
        <v>518</v>
      </c>
      <c r="U72" s="36" t="s">
        <v>519</v>
      </c>
      <c r="V72" s="36" t="s">
        <v>520</v>
      </c>
    </row>
    <row r="73" spans="2:22" ht="15" customHeight="1" x14ac:dyDescent="0.3">
      <c r="B73" s="22">
        <v>66</v>
      </c>
      <c r="C73" s="36" t="s">
        <v>1</v>
      </c>
      <c r="D73" s="5" t="s">
        <v>459</v>
      </c>
      <c r="E73" s="5" t="s">
        <v>521</v>
      </c>
      <c r="F73" s="5" t="s">
        <v>522</v>
      </c>
      <c r="G73" s="5" t="s">
        <v>523</v>
      </c>
      <c r="H73" s="5" t="s">
        <v>524</v>
      </c>
      <c r="I73" s="5" t="s">
        <v>235</v>
      </c>
      <c r="J73" s="5">
        <v>2002</v>
      </c>
      <c r="K73" s="36" t="s">
        <v>296</v>
      </c>
      <c r="L73" s="5">
        <v>18</v>
      </c>
      <c r="M73" s="36" t="s">
        <v>296</v>
      </c>
      <c r="N73" s="5">
        <v>18</v>
      </c>
      <c r="O73" s="5" t="s">
        <v>423</v>
      </c>
      <c r="P73" s="5"/>
      <c r="Q73" s="5" t="s">
        <v>525</v>
      </c>
      <c r="R73" s="5" t="s">
        <v>465</v>
      </c>
      <c r="S73" s="90" t="s">
        <v>466</v>
      </c>
      <c r="T73" s="36" t="s">
        <v>296</v>
      </c>
      <c r="U73" s="5" t="s">
        <v>526</v>
      </c>
      <c r="V73" s="5" t="s">
        <v>527</v>
      </c>
    </row>
    <row r="74" spans="2:22" ht="15" customHeight="1" x14ac:dyDescent="0.3">
      <c r="B74" s="22">
        <v>67</v>
      </c>
      <c r="C74" s="36" t="s">
        <v>1</v>
      </c>
      <c r="D74" s="5" t="s">
        <v>528</v>
      </c>
      <c r="E74" s="5" t="s">
        <v>529</v>
      </c>
      <c r="F74" s="5" t="s">
        <v>243</v>
      </c>
      <c r="G74" s="5" t="s">
        <v>530</v>
      </c>
      <c r="H74" s="5" t="s">
        <v>531</v>
      </c>
      <c r="I74" s="5" t="s">
        <v>235</v>
      </c>
      <c r="J74" s="5">
        <v>2006</v>
      </c>
      <c r="K74" s="36" t="s">
        <v>296</v>
      </c>
      <c r="L74" s="5" t="s">
        <v>296</v>
      </c>
      <c r="M74" s="5" t="s">
        <v>296</v>
      </c>
      <c r="N74" s="5" t="s">
        <v>296</v>
      </c>
      <c r="O74" s="20">
        <v>100000</v>
      </c>
      <c r="P74" s="5" t="s">
        <v>296</v>
      </c>
      <c r="Q74" s="5" t="s">
        <v>532</v>
      </c>
      <c r="R74" s="5" t="s">
        <v>533</v>
      </c>
      <c r="S74" s="124" t="s">
        <v>296</v>
      </c>
      <c r="T74" s="36" t="s">
        <v>296</v>
      </c>
      <c r="U74" s="5" t="s">
        <v>534</v>
      </c>
      <c r="V74" s="5" t="s">
        <v>535</v>
      </c>
    </row>
    <row r="75" spans="2:22" ht="15" customHeight="1" x14ac:dyDescent="0.3">
      <c r="B75" s="22">
        <v>68</v>
      </c>
      <c r="C75" s="36" t="s">
        <v>1</v>
      </c>
      <c r="D75" s="36" t="s">
        <v>410</v>
      </c>
      <c r="E75" s="5" t="s">
        <v>536</v>
      </c>
      <c r="F75" s="36" t="s">
        <v>55</v>
      </c>
      <c r="G75" s="36" t="s">
        <v>193</v>
      </c>
      <c r="H75" s="36" t="s">
        <v>537</v>
      </c>
      <c r="I75" s="36" t="s">
        <v>67</v>
      </c>
      <c r="J75" s="36">
        <v>2000</v>
      </c>
      <c r="K75" s="36" t="s">
        <v>296</v>
      </c>
      <c r="L75" s="36">
        <v>730</v>
      </c>
      <c r="M75" s="36" t="s">
        <v>422</v>
      </c>
      <c r="N75" s="36" t="s">
        <v>422</v>
      </c>
      <c r="O75" s="36">
        <v>410</v>
      </c>
      <c r="P75" s="36" t="s">
        <v>296</v>
      </c>
      <c r="Q75" s="5" t="s">
        <v>456</v>
      </c>
      <c r="R75" s="36" t="s">
        <v>457</v>
      </c>
      <c r="S75" s="125" t="s">
        <v>458</v>
      </c>
      <c r="T75" s="36" t="s">
        <v>296</v>
      </c>
      <c r="U75" s="36" t="s">
        <v>415</v>
      </c>
      <c r="V75" s="36" t="s">
        <v>416</v>
      </c>
    </row>
    <row r="76" spans="2:22" ht="15" customHeight="1" x14ac:dyDescent="0.3">
      <c r="B76" s="22">
        <v>69</v>
      </c>
      <c r="C76" s="36" t="s">
        <v>1</v>
      </c>
      <c r="D76" s="5" t="s">
        <v>417</v>
      </c>
      <c r="E76" s="5" t="s">
        <v>538</v>
      </c>
      <c r="F76" s="5" t="s">
        <v>243</v>
      </c>
      <c r="G76" s="5" t="s">
        <v>539</v>
      </c>
      <c r="H76" s="5" t="s">
        <v>420</v>
      </c>
      <c r="I76" s="5" t="s">
        <v>420</v>
      </c>
      <c r="J76" s="5">
        <v>2005</v>
      </c>
      <c r="K76" s="36" t="s">
        <v>296</v>
      </c>
      <c r="L76" s="5">
        <v>12</v>
      </c>
      <c r="M76" s="5" t="s">
        <v>420</v>
      </c>
      <c r="N76" s="36" t="s">
        <v>422</v>
      </c>
      <c r="O76" s="5" t="s">
        <v>540</v>
      </c>
      <c r="P76" s="5"/>
      <c r="Q76" s="5" t="s">
        <v>541</v>
      </c>
      <c r="R76" s="5" t="s">
        <v>542</v>
      </c>
      <c r="S76" s="124" t="s">
        <v>296</v>
      </c>
      <c r="T76" s="36" t="s">
        <v>296</v>
      </c>
      <c r="U76" s="5" t="s">
        <v>543</v>
      </c>
      <c r="V76" s="5" t="s">
        <v>512</v>
      </c>
    </row>
    <row r="77" spans="2:22" ht="15" customHeight="1" x14ac:dyDescent="0.3">
      <c r="B77" s="22">
        <v>70</v>
      </c>
      <c r="C77" s="36" t="s">
        <v>1</v>
      </c>
      <c r="D77" s="36" t="s">
        <v>410</v>
      </c>
      <c r="E77" s="36" t="s">
        <v>544</v>
      </c>
      <c r="F77" s="36" t="s">
        <v>95</v>
      </c>
      <c r="G77" s="36" t="s">
        <v>539</v>
      </c>
      <c r="H77" s="36" t="s">
        <v>545</v>
      </c>
      <c r="I77" s="36" t="s">
        <v>67</v>
      </c>
      <c r="J77" s="36">
        <v>1996</v>
      </c>
      <c r="K77" s="36" t="s">
        <v>296</v>
      </c>
      <c r="L77" s="36">
        <v>700</v>
      </c>
      <c r="M77" s="36" t="s">
        <v>422</v>
      </c>
      <c r="N77" s="36" t="s">
        <v>422</v>
      </c>
      <c r="O77" s="36">
        <v>1300</v>
      </c>
      <c r="P77" s="36" t="s">
        <v>296</v>
      </c>
      <c r="Q77" s="5" t="s">
        <v>456</v>
      </c>
      <c r="R77" s="36" t="s">
        <v>457</v>
      </c>
      <c r="S77" s="125" t="s">
        <v>458</v>
      </c>
      <c r="T77" s="36" t="s">
        <v>296</v>
      </c>
      <c r="U77" s="36" t="s">
        <v>546</v>
      </c>
      <c r="V77" s="36" t="s">
        <v>547</v>
      </c>
    </row>
    <row r="78" spans="2:22" ht="15" customHeight="1" x14ac:dyDescent="0.3">
      <c r="B78" s="22">
        <v>71</v>
      </c>
      <c r="C78" s="36" t="s">
        <v>1</v>
      </c>
      <c r="D78" s="5" t="s">
        <v>459</v>
      </c>
      <c r="E78" s="5" t="s">
        <v>548</v>
      </c>
      <c r="F78" s="5" t="s">
        <v>522</v>
      </c>
      <c r="G78" s="5" t="s">
        <v>549</v>
      </c>
      <c r="H78" s="5" t="s">
        <v>524</v>
      </c>
      <c r="I78" s="5" t="s">
        <v>235</v>
      </c>
      <c r="J78" s="5">
        <v>1995</v>
      </c>
      <c r="K78" s="36" t="s">
        <v>296</v>
      </c>
      <c r="L78" s="5">
        <v>70</v>
      </c>
      <c r="M78" s="36" t="s">
        <v>296</v>
      </c>
      <c r="N78" s="5">
        <v>70</v>
      </c>
      <c r="O78" s="5" t="s">
        <v>423</v>
      </c>
      <c r="P78" s="5"/>
      <c r="Q78" s="5" t="s">
        <v>550</v>
      </c>
      <c r="R78" s="5" t="s">
        <v>465</v>
      </c>
      <c r="S78" s="90" t="s">
        <v>466</v>
      </c>
      <c r="T78" s="36" t="s">
        <v>296</v>
      </c>
      <c r="U78" s="5" t="s">
        <v>526</v>
      </c>
      <c r="V78" s="5" t="s">
        <v>527</v>
      </c>
    </row>
    <row r="79" spans="2:22" ht="15" customHeight="1" x14ac:dyDescent="0.3">
      <c r="B79" s="22">
        <v>72</v>
      </c>
      <c r="C79" s="36" t="s">
        <v>1</v>
      </c>
      <c r="D79" s="5" t="s">
        <v>427</v>
      </c>
      <c r="E79" s="5" t="s">
        <v>551</v>
      </c>
      <c r="F79" s="5" t="s">
        <v>552</v>
      </c>
      <c r="G79" s="5" t="s">
        <v>553</v>
      </c>
      <c r="H79" s="5" t="s">
        <v>554</v>
      </c>
      <c r="I79" s="5" t="s">
        <v>432</v>
      </c>
      <c r="J79" s="5">
        <v>2001</v>
      </c>
      <c r="K79" s="36" t="s">
        <v>296</v>
      </c>
      <c r="L79" s="5">
        <v>40</v>
      </c>
      <c r="M79" s="36" t="s">
        <v>296</v>
      </c>
      <c r="N79" s="5">
        <v>40</v>
      </c>
      <c r="O79" s="5" t="s">
        <v>423</v>
      </c>
      <c r="P79" s="5"/>
      <c r="Q79" s="5" t="s">
        <v>555</v>
      </c>
      <c r="R79" s="5" t="s">
        <v>434</v>
      </c>
      <c r="S79" s="90" t="s">
        <v>556</v>
      </c>
      <c r="T79" s="36" t="s">
        <v>296</v>
      </c>
      <c r="U79" s="5" t="s">
        <v>557</v>
      </c>
      <c r="V79" s="5" t="s">
        <v>558</v>
      </c>
    </row>
    <row r="80" spans="2:22" ht="15" customHeight="1" x14ac:dyDescent="0.3">
      <c r="B80" s="22">
        <v>73</v>
      </c>
      <c r="C80" s="36" t="s">
        <v>1</v>
      </c>
      <c r="D80" s="5" t="s">
        <v>417</v>
      </c>
      <c r="E80" s="5" t="s">
        <v>559</v>
      </c>
      <c r="F80" s="5" t="s">
        <v>232</v>
      </c>
      <c r="G80" s="5" t="s">
        <v>560</v>
      </c>
      <c r="H80" s="5" t="s">
        <v>561</v>
      </c>
      <c r="I80" s="5" t="s">
        <v>420</v>
      </c>
      <c r="J80" s="5">
        <v>2017</v>
      </c>
      <c r="K80" s="36" t="s">
        <v>296</v>
      </c>
      <c r="L80" s="5">
        <v>90</v>
      </c>
      <c r="M80" s="5" t="s">
        <v>420</v>
      </c>
      <c r="N80" s="5" t="s">
        <v>420</v>
      </c>
      <c r="O80" s="5" t="s">
        <v>423</v>
      </c>
      <c r="P80" s="5"/>
      <c r="Q80" s="36" t="s">
        <v>296</v>
      </c>
      <c r="R80" s="36"/>
      <c r="S80" s="124"/>
      <c r="T80" s="36" t="s">
        <v>296</v>
      </c>
      <c r="U80" s="5" t="s">
        <v>543</v>
      </c>
      <c r="V80" s="5" t="s">
        <v>426</v>
      </c>
    </row>
    <row r="81" spans="2:22" ht="15" customHeight="1" x14ac:dyDescent="0.3">
      <c r="B81" s="22">
        <v>74</v>
      </c>
      <c r="C81" s="36" t="s">
        <v>1</v>
      </c>
      <c r="D81" s="5" t="s">
        <v>562</v>
      </c>
      <c r="E81" s="5" t="s">
        <v>563</v>
      </c>
      <c r="F81" s="5" t="s">
        <v>259</v>
      </c>
      <c r="G81" s="5" t="s">
        <v>560</v>
      </c>
      <c r="H81" s="5" t="s">
        <v>564</v>
      </c>
      <c r="I81" s="5" t="s">
        <v>235</v>
      </c>
      <c r="J81" s="5" t="s">
        <v>565</v>
      </c>
      <c r="K81" s="36" t="s">
        <v>296</v>
      </c>
      <c r="L81" s="5">
        <v>50</v>
      </c>
      <c r="M81" s="36" t="s">
        <v>296</v>
      </c>
      <c r="N81" s="5">
        <v>50</v>
      </c>
      <c r="O81" s="20">
        <v>2500</v>
      </c>
      <c r="P81" s="36" t="s">
        <v>296</v>
      </c>
      <c r="Q81" s="36" t="s">
        <v>296</v>
      </c>
      <c r="R81" s="36"/>
      <c r="S81" s="124"/>
      <c r="T81" s="36" t="s">
        <v>296</v>
      </c>
      <c r="U81" s="5" t="s">
        <v>566</v>
      </c>
      <c r="V81" s="5" t="s">
        <v>567</v>
      </c>
    </row>
    <row r="82" spans="2:22" ht="15" customHeight="1" x14ac:dyDescent="0.3">
      <c r="B82" s="22">
        <v>75</v>
      </c>
      <c r="C82" s="36" t="s">
        <v>1</v>
      </c>
      <c r="D82" s="5" t="s">
        <v>501</v>
      </c>
      <c r="E82" s="5" t="s">
        <v>568</v>
      </c>
      <c r="F82" s="5" t="s">
        <v>232</v>
      </c>
      <c r="G82" s="5" t="s">
        <v>569</v>
      </c>
      <c r="H82" s="5" t="s">
        <v>570</v>
      </c>
      <c r="I82" s="5" t="s">
        <v>67</v>
      </c>
      <c r="J82" s="5">
        <v>2016</v>
      </c>
      <c r="K82" s="36" t="s">
        <v>296</v>
      </c>
      <c r="L82" s="5">
        <v>90</v>
      </c>
      <c r="M82" s="36" t="s">
        <v>296</v>
      </c>
      <c r="N82" s="5">
        <v>90</v>
      </c>
      <c r="O82" s="20">
        <v>10000</v>
      </c>
      <c r="P82" s="36" t="s">
        <v>296</v>
      </c>
      <c r="Q82" s="5" t="s">
        <v>296</v>
      </c>
      <c r="R82" s="5"/>
      <c r="S82" s="90"/>
      <c r="T82" s="36" t="s">
        <v>296</v>
      </c>
      <c r="U82" s="5" t="s">
        <v>571</v>
      </c>
      <c r="V82" s="5" t="s">
        <v>572</v>
      </c>
    </row>
    <row r="83" spans="2:22" ht="15" customHeight="1" x14ac:dyDescent="0.3">
      <c r="B83" s="22">
        <v>76</v>
      </c>
      <c r="C83" s="36" t="s">
        <v>1</v>
      </c>
      <c r="D83" s="5" t="s">
        <v>459</v>
      </c>
      <c r="E83" s="5" t="s">
        <v>573</v>
      </c>
      <c r="F83" s="5" t="s">
        <v>522</v>
      </c>
      <c r="G83" s="5" t="s">
        <v>574</v>
      </c>
      <c r="H83" s="5" t="s">
        <v>575</v>
      </c>
      <c r="I83" s="5" t="s">
        <v>235</v>
      </c>
      <c r="J83" s="5">
        <v>2012</v>
      </c>
      <c r="K83" s="36" t="s">
        <v>296</v>
      </c>
      <c r="L83" s="5">
        <v>150</v>
      </c>
      <c r="M83" s="5" t="s">
        <v>296</v>
      </c>
      <c r="N83" s="5">
        <v>150</v>
      </c>
      <c r="O83" s="5" t="s">
        <v>423</v>
      </c>
      <c r="P83" s="5"/>
      <c r="Q83" s="5" t="s">
        <v>576</v>
      </c>
      <c r="R83" s="5" t="s">
        <v>465</v>
      </c>
      <c r="S83" s="90" t="s">
        <v>466</v>
      </c>
      <c r="T83" s="36" t="s">
        <v>296</v>
      </c>
      <c r="U83" s="5" t="s">
        <v>577</v>
      </c>
      <c r="V83" s="5" t="s">
        <v>578</v>
      </c>
    </row>
    <row r="84" spans="2:22" ht="15" customHeight="1" x14ac:dyDescent="0.3">
      <c r="B84" s="22">
        <v>77</v>
      </c>
      <c r="C84" s="36" t="s">
        <v>1</v>
      </c>
      <c r="D84" s="5" t="s">
        <v>459</v>
      </c>
      <c r="E84" s="5" t="s">
        <v>579</v>
      </c>
      <c r="F84" s="5" t="s">
        <v>461</v>
      </c>
      <c r="G84" s="5" t="s">
        <v>580</v>
      </c>
      <c r="H84" s="5" t="s">
        <v>581</v>
      </c>
      <c r="I84" s="5" t="s">
        <v>235</v>
      </c>
      <c r="J84" s="5">
        <v>2005</v>
      </c>
      <c r="K84" s="36" t="s">
        <v>296</v>
      </c>
      <c r="L84" s="5">
        <v>80</v>
      </c>
      <c r="M84" s="36" t="s">
        <v>296</v>
      </c>
      <c r="N84" s="5">
        <v>80</v>
      </c>
      <c r="O84" s="5" t="s">
        <v>423</v>
      </c>
      <c r="P84" s="5"/>
      <c r="Q84" s="5" t="s">
        <v>582</v>
      </c>
      <c r="R84" s="5" t="s">
        <v>238</v>
      </c>
      <c r="S84" s="90" t="s">
        <v>466</v>
      </c>
      <c r="T84" s="36" t="s">
        <v>296</v>
      </c>
      <c r="U84" s="5" t="s">
        <v>583</v>
      </c>
      <c r="V84" s="5" t="s">
        <v>584</v>
      </c>
    </row>
    <row r="85" spans="2:22" ht="15" customHeight="1" x14ac:dyDescent="0.3">
      <c r="B85" s="22">
        <v>78</v>
      </c>
      <c r="C85" s="36" t="s">
        <v>1</v>
      </c>
      <c r="D85" s="5" t="s">
        <v>277</v>
      </c>
      <c r="E85" s="5" t="s">
        <v>585</v>
      </c>
      <c r="F85" s="5" t="s">
        <v>586</v>
      </c>
      <c r="G85" s="5" t="s">
        <v>587</v>
      </c>
      <c r="H85" s="5" t="s">
        <v>588</v>
      </c>
      <c r="I85" s="5" t="s">
        <v>235</v>
      </c>
      <c r="J85" s="5">
        <v>1997</v>
      </c>
      <c r="K85" s="36" t="s">
        <v>296</v>
      </c>
      <c r="L85" s="5">
        <v>230</v>
      </c>
      <c r="M85" s="36" t="s">
        <v>296</v>
      </c>
      <c r="N85" s="5">
        <v>230</v>
      </c>
      <c r="O85" s="5" t="s">
        <v>423</v>
      </c>
      <c r="P85" s="5"/>
      <c r="Q85" s="5" t="s">
        <v>296</v>
      </c>
      <c r="R85" s="5"/>
      <c r="S85" s="90"/>
      <c r="T85" s="36" t="s">
        <v>296</v>
      </c>
      <c r="U85" s="5" t="s">
        <v>589</v>
      </c>
      <c r="V85" s="5" t="s">
        <v>590</v>
      </c>
    </row>
    <row r="86" spans="2:22" ht="15" customHeight="1" x14ac:dyDescent="0.3">
      <c r="B86" s="22">
        <v>79</v>
      </c>
      <c r="C86" s="36" t="s">
        <v>1</v>
      </c>
      <c r="D86" s="5" t="s">
        <v>459</v>
      </c>
      <c r="E86" s="5" t="s">
        <v>591</v>
      </c>
      <c r="F86" s="5" t="s">
        <v>522</v>
      </c>
      <c r="G86" s="5" t="s">
        <v>592</v>
      </c>
      <c r="H86" s="5" t="s">
        <v>593</v>
      </c>
      <c r="I86" s="5" t="s">
        <v>235</v>
      </c>
      <c r="J86" s="5">
        <v>1995</v>
      </c>
      <c r="K86" s="36" t="s">
        <v>296</v>
      </c>
      <c r="L86" s="5">
        <v>290</v>
      </c>
      <c r="M86" s="36" t="s">
        <v>296</v>
      </c>
      <c r="N86" s="5">
        <v>290</v>
      </c>
      <c r="O86" s="5" t="s">
        <v>423</v>
      </c>
      <c r="P86" s="5"/>
      <c r="Q86" s="5" t="s">
        <v>594</v>
      </c>
      <c r="R86" s="5" t="s">
        <v>465</v>
      </c>
      <c r="S86" s="90" t="s">
        <v>595</v>
      </c>
      <c r="T86" s="36" t="s">
        <v>296</v>
      </c>
      <c r="U86" s="5" t="s">
        <v>596</v>
      </c>
      <c r="V86" s="5" t="s">
        <v>597</v>
      </c>
    </row>
    <row r="87" spans="2:22" ht="15" customHeight="1" x14ac:dyDescent="0.3">
      <c r="B87" s="22">
        <v>80</v>
      </c>
      <c r="C87" s="36" t="s">
        <v>1</v>
      </c>
      <c r="D87" s="5" t="s">
        <v>562</v>
      </c>
      <c r="E87" s="5" t="s">
        <v>598</v>
      </c>
      <c r="F87" s="5" t="s">
        <v>232</v>
      </c>
      <c r="G87" s="5" t="s">
        <v>440</v>
      </c>
      <c r="H87" s="5" t="s">
        <v>599</v>
      </c>
      <c r="I87" s="5" t="s">
        <v>292</v>
      </c>
      <c r="J87" s="5">
        <v>2011</v>
      </c>
      <c r="K87" s="36" t="s">
        <v>296</v>
      </c>
      <c r="L87" s="5">
        <v>70</v>
      </c>
      <c r="M87" s="5">
        <v>30</v>
      </c>
      <c r="N87" s="5">
        <v>100</v>
      </c>
      <c r="O87" s="5" t="s">
        <v>600</v>
      </c>
      <c r="P87" s="5" t="s">
        <v>601</v>
      </c>
      <c r="Q87" s="5" t="s">
        <v>602</v>
      </c>
      <c r="R87" s="5" t="s">
        <v>238</v>
      </c>
      <c r="S87" s="90" t="s">
        <v>603</v>
      </c>
      <c r="T87" s="36" t="s">
        <v>296</v>
      </c>
      <c r="U87" s="5" t="s">
        <v>604</v>
      </c>
      <c r="V87" s="5" t="s">
        <v>605</v>
      </c>
    </row>
    <row r="88" spans="2:22" ht="15" customHeight="1" x14ac:dyDescent="0.3">
      <c r="B88" s="22">
        <v>81</v>
      </c>
      <c r="C88" s="36" t="s">
        <v>1</v>
      </c>
      <c r="D88" s="5" t="s">
        <v>562</v>
      </c>
      <c r="E88" s="5" t="s">
        <v>606</v>
      </c>
      <c r="F88" s="5" t="s">
        <v>232</v>
      </c>
      <c r="G88" s="5" t="s">
        <v>440</v>
      </c>
      <c r="H88" s="5" t="s">
        <v>607</v>
      </c>
      <c r="I88" s="5" t="s">
        <v>292</v>
      </c>
      <c r="J88" s="5">
        <v>2017</v>
      </c>
      <c r="K88" s="36" t="s">
        <v>296</v>
      </c>
      <c r="L88" s="5" t="s">
        <v>608</v>
      </c>
      <c r="M88" s="36" t="s">
        <v>296</v>
      </c>
      <c r="N88" s="5">
        <v>80</v>
      </c>
      <c r="O88" s="5" t="s">
        <v>282</v>
      </c>
      <c r="P88" s="5" t="s">
        <v>609</v>
      </c>
      <c r="Q88" s="5" t="s">
        <v>296</v>
      </c>
      <c r="R88" s="5"/>
      <c r="S88" s="90"/>
      <c r="T88" s="36" t="s">
        <v>296</v>
      </c>
      <c r="U88" s="5" t="s">
        <v>610</v>
      </c>
      <c r="V88" s="5" t="s">
        <v>611</v>
      </c>
    </row>
    <row r="89" spans="2:22" ht="15" customHeight="1" x14ac:dyDescent="0.3">
      <c r="B89" s="22">
        <v>82</v>
      </c>
      <c r="C89" s="36" t="s">
        <v>1</v>
      </c>
      <c r="D89" s="5" t="s">
        <v>612</v>
      </c>
      <c r="E89" s="5" t="s">
        <v>613</v>
      </c>
      <c r="F89" s="5" t="s">
        <v>259</v>
      </c>
      <c r="G89" s="5" t="s">
        <v>614</v>
      </c>
      <c r="H89" s="5" t="s">
        <v>615</v>
      </c>
      <c r="I89" s="5" t="s">
        <v>235</v>
      </c>
      <c r="J89" s="5">
        <v>2001</v>
      </c>
      <c r="K89" s="36">
        <v>30</v>
      </c>
      <c r="L89" s="5">
        <v>740</v>
      </c>
      <c r="M89" s="36" t="s">
        <v>296</v>
      </c>
      <c r="N89" s="5">
        <v>770</v>
      </c>
      <c r="O89" s="5" t="s">
        <v>423</v>
      </c>
      <c r="P89" s="5"/>
      <c r="Q89" s="5" t="s">
        <v>616</v>
      </c>
      <c r="R89" s="5" t="s">
        <v>533</v>
      </c>
      <c r="S89" s="90" t="s">
        <v>617</v>
      </c>
      <c r="T89" s="36" t="s">
        <v>43</v>
      </c>
      <c r="U89" s="5" t="s">
        <v>618</v>
      </c>
      <c r="V89" s="5" t="s">
        <v>619</v>
      </c>
    </row>
    <row r="90" spans="2:22" ht="15" customHeight="1" x14ac:dyDescent="0.3">
      <c r="B90" s="22">
        <v>83</v>
      </c>
      <c r="C90" s="36" t="s">
        <v>1</v>
      </c>
      <c r="D90" s="5" t="s">
        <v>459</v>
      </c>
      <c r="E90" s="5" t="s">
        <v>620</v>
      </c>
      <c r="F90" s="5" t="s">
        <v>461</v>
      </c>
      <c r="G90" s="5" t="s">
        <v>621</v>
      </c>
      <c r="H90" s="5" t="s">
        <v>622</v>
      </c>
      <c r="I90" s="5" t="s">
        <v>292</v>
      </c>
      <c r="J90" s="5">
        <v>2004</v>
      </c>
      <c r="K90" s="36" t="s">
        <v>296</v>
      </c>
      <c r="L90" s="5">
        <v>70</v>
      </c>
      <c r="M90" s="5" t="s">
        <v>68</v>
      </c>
      <c r="N90" s="5">
        <v>70</v>
      </c>
      <c r="O90" s="5" t="s">
        <v>423</v>
      </c>
      <c r="P90" s="5"/>
      <c r="Q90" s="5" t="s">
        <v>623</v>
      </c>
      <c r="R90" s="5" t="s">
        <v>465</v>
      </c>
      <c r="S90" s="90" t="s">
        <v>466</v>
      </c>
      <c r="T90" s="36" t="s">
        <v>296</v>
      </c>
      <c r="U90" s="5" t="s">
        <v>624</v>
      </c>
      <c r="V90" s="5" t="s">
        <v>625</v>
      </c>
    </row>
    <row r="91" spans="2:22" ht="15" customHeight="1" x14ac:dyDescent="0.3">
      <c r="B91" s="22">
        <v>84</v>
      </c>
      <c r="C91" s="36" t="s">
        <v>1</v>
      </c>
      <c r="D91" s="5" t="s">
        <v>257</v>
      </c>
      <c r="E91" s="5" t="s">
        <v>626</v>
      </c>
      <c r="F91" s="5" t="s">
        <v>627</v>
      </c>
      <c r="G91" s="5" t="s">
        <v>628</v>
      </c>
      <c r="H91" s="5" t="s">
        <v>629</v>
      </c>
      <c r="I91" s="5" t="s">
        <v>235</v>
      </c>
      <c r="J91" s="5">
        <v>1992</v>
      </c>
      <c r="K91" s="36" t="s">
        <v>296</v>
      </c>
      <c r="L91" s="5">
        <v>290</v>
      </c>
      <c r="M91" s="5">
        <v>30</v>
      </c>
      <c r="N91" s="5">
        <v>320</v>
      </c>
      <c r="O91" s="5" t="s">
        <v>423</v>
      </c>
      <c r="P91" s="5"/>
      <c r="Q91" s="5" t="s">
        <v>630</v>
      </c>
      <c r="R91" s="5" t="s">
        <v>238</v>
      </c>
      <c r="S91" s="90" t="s">
        <v>631</v>
      </c>
      <c r="T91" s="36" t="s">
        <v>296</v>
      </c>
      <c r="U91" s="5" t="s">
        <v>478</v>
      </c>
      <c r="V91" s="5" t="s">
        <v>479</v>
      </c>
    </row>
    <row r="92" spans="2:22" ht="15" customHeight="1" x14ac:dyDescent="0.3">
      <c r="B92" s="22">
        <v>85</v>
      </c>
      <c r="C92" s="36" t="s">
        <v>1</v>
      </c>
      <c r="D92" s="5" t="s">
        <v>632</v>
      </c>
      <c r="E92" s="5" t="s">
        <v>633</v>
      </c>
      <c r="F92" s="5" t="s">
        <v>259</v>
      </c>
      <c r="G92" s="5" t="s">
        <v>634</v>
      </c>
      <c r="H92" s="5" t="s">
        <v>635</v>
      </c>
      <c r="I92" s="5" t="s">
        <v>636</v>
      </c>
      <c r="J92" s="5">
        <v>1995</v>
      </c>
      <c r="K92" s="36" t="s">
        <v>296</v>
      </c>
      <c r="L92" s="5">
        <v>440</v>
      </c>
      <c r="M92" s="5">
        <v>67</v>
      </c>
      <c r="N92" s="5">
        <v>507</v>
      </c>
      <c r="O92" s="5" t="s">
        <v>423</v>
      </c>
      <c r="P92" s="5"/>
      <c r="Q92" s="5" t="s">
        <v>637</v>
      </c>
      <c r="R92" s="5" t="s">
        <v>238</v>
      </c>
      <c r="S92" s="90" t="s">
        <v>638</v>
      </c>
      <c r="T92" s="36" t="s">
        <v>296</v>
      </c>
      <c r="U92" s="5" t="s">
        <v>639</v>
      </c>
      <c r="V92" s="5" t="s">
        <v>640</v>
      </c>
    </row>
    <row r="93" spans="2:22" ht="15" customHeight="1" x14ac:dyDescent="0.3">
      <c r="B93" s="22">
        <v>86</v>
      </c>
      <c r="C93" s="36" t="s">
        <v>1</v>
      </c>
      <c r="D93" s="5" t="s">
        <v>528</v>
      </c>
      <c r="E93" s="5" t="s">
        <v>641</v>
      </c>
      <c r="F93" s="5" t="s">
        <v>243</v>
      </c>
      <c r="G93" s="5" t="s">
        <v>642</v>
      </c>
      <c r="H93" s="5" t="s">
        <v>643</v>
      </c>
      <c r="I93" s="5" t="s">
        <v>235</v>
      </c>
      <c r="J93" s="5">
        <v>1993</v>
      </c>
      <c r="K93" s="36" t="s">
        <v>296</v>
      </c>
      <c r="L93" s="5">
        <v>357.5</v>
      </c>
      <c r="M93" s="5" t="s">
        <v>296</v>
      </c>
      <c r="N93" s="5">
        <v>357.5</v>
      </c>
      <c r="O93" s="5" t="s">
        <v>644</v>
      </c>
      <c r="P93" s="5"/>
      <c r="Q93" s="5" t="s">
        <v>645</v>
      </c>
      <c r="R93" s="5" t="s">
        <v>533</v>
      </c>
      <c r="S93" s="90" t="s">
        <v>646</v>
      </c>
      <c r="T93" s="36" t="s">
        <v>296</v>
      </c>
      <c r="U93" s="5" t="s">
        <v>534</v>
      </c>
      <c r="V93" s="5" t="s">
        <v>535</v>
      </c>
    </row>
    <row r="94" spans="2:22" ht="15" customHeight="1" x14ac:dyDescent="0.3">
      <c r="B94" s="22">
        <v>87</v>
      </c>
      <c r="C94" s="36" t="s">
        <v>1</v>
      </c>
      <c r="D94" s="5" t="s">
        <v>528</v>
      </c>
      <c r="E94" s="5" t="s">
        <v>647</v>
      </c>
      <c r="F94" s="5" t="s">
        <v>243</v>
      </c>
      <c r="G94" s="5" t="s">
        <v>642</v>
      </c>
      <c r="H94" s="5" t="s">
        <v>643</v>
      </c>
      <c r="I94" s="5" t="s">
        <v>235</v>
      </c>
      <c r="J94" s="5">
        <v>2019</v>
      </c>
      <c r="K94" s="36" t="s">
        <v>296</v>
      </c>
      <c r="L94" s="5">
        <v>70</v>
      </c>
      <c r="M94" s="5" t="s">
        <v>296</v>
      </c>
      <c r="N94" s="5">
        <v>70</v>
      </c>
      <c r="O94" s="5" t="s">
        <v>644</v>
      </c>
      <c r="P94" s="5"/>
      <c r="Q94" s="5" t="s">
        <v>645</v>
      </c>
      <c r="R94" s="5" t="s">
        <v>533</v>
      </c>
      <c r="S94" s="90" t="s">
        <v>646</v>
      </c>
      <c r="T94" s="36" t="s">
        <v>296</v>
      </c>
      <c r="U94" s="5" t="s">
        <v>648</v>
      </c>
      <c r="V94" s="5" t="s">
        <v>649</v>
      </c>
    </row>
    <row r="95" spans="2:22" ht="15" customHeight="1" x14ac:dyDescent="0.3">
      <c r="B95" s="22">
        <v>88</v>
      </c>
      <c r="C95" s="36" t="s">
        <v>1</v>
      </c>
      <c r="D95" s="5" t="s">
        <v>345</v>
      </c>
      <c r="E95" s="5" t="s">
        <v>650</v>
      </c>
      <c r="F95" s="5" t="s">
        <v>243</v>
      </c>
      <c r="G95" s="5" t="s">
        <v>651</v>
      </c>
      <c r="H95" s="5" t="s">
        <v>652</v>
      </c>
      <c r="I95" s="5" t="s">
        <v>67</v>
      </c>
      <c r="J95" s="5">
        <v>2004</v>
      </c>
      <c r="K95" s="36" t="s">
        <v>296</v>
      </c>
      <c r="L95" s="5">
        <v>125</v>
      </c>
      <c r="M95" s="5">
        <v>45</v>
      </c>
      <c r="N95" s="5">
        <v>170</v>
      </c>
      <c r="O95" s="5" t="s">
        <v>653</v>
      </c>
      <c r="P95" s="5"/>
      <c r="Q95" s="5" t="s">
        <v>654</v>
      </c>
      <c r="R95" s="5" t="s">
        <v>395</v>
      </c>
      <c r="S95" s="90" t="s">
        <v>655</v>
      </c>
      <c r="T95" s="36" t="s">
        <v>296</v>
      </c>
      <c r="U95" s="5" t="s">
        <v>656</v>
      </c>
      <c r="V95" s="5" t="s">
        <v>657</v>
      </c>
    </row>
    <row r="96" spans="2:22" ht="15" customHeight="1" x14ac:dyDescent="0.3">
      <c r="B96" s="22">
        <v>89</v>
      </c>
      <c r="C96" s="36" t="s">
        <v>1</v>
      </c>
      <c r="D96" s="5" t="s">
        <v>658</v>
      </c>
      <c r="E96" s="5" t="s">
        <v>659</v>
      </c>
      <c r="F96" s="5" t="s">
        <v>259</v>
      </c>
      <c r="G96" s="5" t="s">
        <v>660</v>
      </c>
      <c r="H96" s="5" t="s">
        <v>661</v>
      </c>
      <c r="I96" s="5" t="s">
        <v>235</v>
      </c>
      <c r="J96" s="5">
        <v>2018</v>
      </c>
      <c r="K96" s="36" t="s">
        <v>296</v>
      </c>
      <c r="L96" s="5">
        <v>290</v>
      </c>
      <c r="M96" s="36" t="s">
        <v>296</v>
      </c>
      <c r="N96" s="5">
        <v>290</v>
      </c>
      <c r="O96" s="20">
        <v>10000</v>
      </c>
      <c r="P96" s="36" t="s">
        <v>296</v>
      </c>
      <c r="Q96" s="5" t="s">
        <v>662</v>
      </c>
      <c r="R96" s="5" t="s">
        <v>357</v>
      </c>
      <c r="S96" s="90" t="s">
        <v>663</v>
      </c>
      <c r="T96" s="36" t="s">
        <v>296</v>
      </c>
      <c r="U96" s="5" t="s">
        <v>664</v>
      </c>
      <c r="V96" s="5" t="s">
        <v>665</v>
      </c>
    </row>
    <row r="97" spans="2:22" ht="15" customHeight="1" x14ac:dyDescent="0.3">
      <c r="B97" s="22">
        <v>90</v>
      </c>
      <c r="C97" s="36" t="s">
        <v>1</v>
      </c>
      <c r="D97" s="22" t="s">
        <v>666</v>
      </c>
      <c r="E97" s="22" t="s">
        <v>667</v>
      </c>
      <c r="F97" s="22" t="s">
        <v>259</v>
      </c>
      <c r="G97" s="22" t="s">
        <v>668</v>
      </c>
      <c r="H97" s="22" t="s">
        <v>669</v>
      </c>
      <c r="I97" s="22" t="s">
        <v>51</v>
      </c>
      <c r="J97" s="22">
        <v>2010</v>
      </c>
      <c r="K97" s="36" t="s">
        <v>296</v>
      </c>
      <c r="L97" s="22">
        <v>40</v>
      </c>
      <c r="M97" s="22">
        <v>40</v>
      </c>
      <c r="N97" s="22">
        <v>80</v>
      </c>
      <c r="O97" s="5" t="s">
        <v>423</v>
      </c>
      <c r="P97" s="5"/>
      <c r="Q97" s="94" t="s">
        <v>670</v>
      </c>
      <c r="R97" s="22" t="s">
        <v>173</v>
      </c>
      <c r="S97" s="88" t="s">
        <v>68</v>
      </c>
      <c r="T97" s="22" t="s">
        <v>68</v>
      </c>
      <c r="U97" s="22" t="s">
        <v>671</v>
      </c>
      <c r="V97" s="22" t="s">
        <v>672</v>
      </c>
    </row>
    <row r="98" spans="2:22" ht="15" customHeight="1" x14ac:dyDescent="0.3">
      <c r="B98" s="22">
        <v>91</v>
      </c>
      <c r="C98" s="36" t="s">
        <v>1</v>
      </c>
      <c r="D98" s="5" t="s">
        <v>257</v>
      </c>
      <c r="E98" s="5" t="s">
        <v>673</v>
      </c>
      <c r="F98" s="5" t="s">
        <v>243</v>
      </c>
      <c r="G98" s="5" t="s">
        <v>440</v>
      </c>
      <c r="H98" s="5" t="s">
        <v>674</v>
      </c>
      <c r="I98" s="5" t="s">
        <v>292</v>
      </c>
      <c r="J98" s="5">
        <v>1996</v>
      </c>
      <c r="K98" s="36" t="s">
        <v>296</v>
      </c>
      <c r="L98" s="5">
        <v>10</v>
      </c>
      <c r="M98" s="36" t="s">
        <v>296</v>
      </c>
      <c r="N98" s="5">
        <v>10</v>
      </c>
      <c r="O98" s="5" t="s">
        <v>423</v>
      </c>
      <c r="P98" s="5"/>
      <c r="Q98" s="5" t="s">
        <v>675</v>
      </c>
      <c r="R98" s="5" t="s">
        <v>533</v>
      </c>
      <c r="S98" s="124" t="s">
        <v>296</v>
      </c>
      <c r="T98" s="36" t="s">
        <v>296</v>
      </c>
      <c r="U98" s="5" t="s">
        <v>676</v>
      </c>
      <c r="V98" s="5" t="s">
        <v>677</v>
      </c>
    </row>
    <row r="99" spans="2:22" ht="15" customHeight="1" x14ac:dyDescent="0.3">
      <c r="B99" s="22">
        <v>92</v>
      </c>
      <c r="C99" s="36" t="s">
        <v>1</v>
      </c>
      <c r="D99" s="5" t="s">
        <v>678</v>
      </c>
      <c r="E99" s="5" t="s">
        <v>679</v>
      </c>
      <c r="F99" s="5" t="s">
        <v>461</v>
      </c>
      <c r="G99" s="5" t="s">
        <v>680</v>
      </c>
      <c r="H99" s="5" t="s">
        <v>681</v>
      </c>
      <c r="I99" s="5" t="s">
        <v>292</v>
      </c>
      <c r="J99" s="5">
        <v>2008</v>
      </c>
      <c r="K99" s="36" t="s">
        <v>296</v>
      </c>
      <c r="L99" s="5">
        <v>94</v>
      </c>
      <c r="M99" s="5">
        <v>100</v>
      </c>
      <c r="N99" s="5">
        <v>194</v>
      </c>
      <c r="O99" s="5" t="s">
        <v>423</v>
      </c>
      <c r="P99" s="5"/>
      <c r="Q99" s="5" t="s">
        <v>682</v>
      </c>
      <c r="R99" s="5" t="s">
        <v>533</v>
      </c>
      <c r="S99" s="90" t="s">
        <v>683</v>
      </c>
      <c r="T99" s="36" t="s">
        <v>296</v>
      </c>
      <c r="U99" s="5" t="s">
        <v>684</v>
      </c>
      <c r="V99" s="5" t="s">
        <v>685</v>
      </c>
    </row>
    <row r="100" spans="2:22" ht="15" customHeight="1" x14ac:dyDescent="0.3">
      <c r="B100" s="22">
        <v>93</v>
      </c>
      <c r="C100" s="36" t="s">
        <v>1</v>
      </c>
      <c r="D100" s="36" t="s">
        <v>666</v>
      </c>
      <c r="E100" s="36" t="s">
        <v>686</v>
      </c>
      <c r="F100" s="36" t="s">
        <v>390</v>
      </c>
      <c r="G100" s="36" t="s">
        <v>440</v>
      </c>
      <c r="H100" s="36" t="s">
        <v>687</v>
      </c>
      <c r="I100" s="36" t="s">
        <v>51</v>
      </c>
      <c r="J100" s="36">
        <v>2015</v>
      </c>
      <c r="K100" s="36" t="s">
        <v>296</v>
      </c>
      <c r="L100" s="36">
        <v>60</v>
      </c>
      <c r="M100" s="36">
        <v>60</v>
      </c>
      <c r="N100" s="36">
        <v>120</v>
      </c>
      <c r="O100" s="5" t="s">
        <v>423</v>
      </c>
      <c r="P100" s="5"/>
      <c r="Q100" s="36" t="s">
        <v>688</v>
      </c>
      <c r="R100" s="36" t="s">
        <v>689</v>
      </c>
      <c r="S100" s="124" t="s">
        <v>690</v>
      </c>
      <c r="T100" s="36" t="s">
        <v>296</v>
      </c>
      <c r="U100" s="36" t="s">
        <v>691</v>
      </c>
      <c r="V100" s="36" t="s">
        <v>692</v>
      </c>
    </row>
    <row r="101" spans="2:22" ht="15" customHeight="1" x14ac:dyDescent="0.3">
      <c r="B101" s="22">
        <v>94</v>
      </c>
      <c r="C101" s="36" t="s">
        <v>1</v>
      </c>
      <c r="D101" s="22" t="s">
        <v>666</v>
      </c>
      <c r="E101" s="22" t="s">
        <v>693</v>
      </c>
      <c r="F101" s="22" t="s">
        <v>50</v>
      </c>
      <c r="G101" s="22" t="s">
        <v>694</v>
      </c>
      <c r="H101" s="22" t="s">
        <v>695</v>
      </c>
      <c r="I101" s="22" t="s">
        <v>51</v>
      </c>
      <c r="J101" s="22">
        <v>2011</v>
      </c>
      <c r="K101" s="36" t="s">
        <v>296</v>
      </c>
      <c r="L101" s="22">
        <v>110</v>
      </c>
      <c r="M101" s="22">
        <v>30</v>
      </c>
      <c r="N101" s="22">
        <v>140</v>
      </c>
      <c r="O101" s="23">
        <v>12026</v>
      </c>
      <c r="P101" s="36" t="s">
        <v>296</v>
      </c>
      <c r="Q101" s="22" t="s">
        <v>696</v>
      </c>
      <c r="R101" s="22" t="s">
        <v>173</v>
      </c>
      <c r="S101" s="88" t="s">
        <v>697</v>
      </c>
      <c r="T101" s="22" t="s">
        <v>68</v>
      </c>
      <c r="U101" s="22" t="s">
        <v>698</v>
      </c>
      <c r="V101" s="22" t="s">
        <v>699</v>
      </c>
    </row>
    <row r="102" spans="2:22" ht="15" customHeight="1" x14ac:dyDescent="0.3">
      <c r="B102" s="22">
        <v>95</v>
      </c>
      <c r="C102" s="36" t="s">
        <v>1</v>
      </c>
      <c r="D102" s="36" t="s">
        <v>700</v>
      </c>
      <c r="E102" s="36" t="s">
        <v>701</v>
      </c>
      <c r="F102" s="36" t="s">
        <v>55</v>
      </c>
      <c r="G102" s="36" t="s">
        <v>702</v>
      </c>
      <c r="H102" s="36" t="s">
        <v>703</v>
      </c>
      <c r="I102" s="36" t="s">
        <v>67</v>
      </c>
      <c r="J102" s="36">
        <v>2005</v>
      </c>
      <c r="K102" s="36" t="s">
        <v>296</v>
      </c>
      <c r="L102" s="36">
        <v>1700</v>
      </c>
      <c r="M102" s="36" t="s">
        <v>296</v>
      </c>
      <c r="N102" s="36">
        <v>1700</v>
      </c>
      <c r="O102" s="36" t="s">
        <v>704</v>
      </c>
      <c r="P102" s="36"/>
      <c r="Q102" s="5" t="s">
        <v>456</v>
      </c>
      <c r="R102" s="36" t="s">
        <v>457</v>
      </c>
      <c r="S102" s="125" t="s">
        <v>458</v>
      </c>
      <c r="T102" s="36" t="s">
        <v>296</v>
      </c>
      <c r="U102" s="36" t="s">
        <v>546</v>
      </c>
      <c r="V102" s="36" t="s">
        <v>547</v>
      </c>
    </row>
    <row r="103" spans="2:22" ht="15" customHeight="1" x14ac:dyDescent="0.3">
      <c r="B103" s="22">
        <v>96</v>
      </c>
      <c r="C103" s="36" t="s">
        <v>1</v>
      </c>
      <c r="D103" s="5" t="s">
        <v>257</v>
      </c>
      <c r="E103" s="5" t="s">
        <v>705</v>
      </c>
      <c r="F103" s="5" t="s">
        <v>243</v>
      </c>
      <c r="G103" s="5" t="s">
        <v>706</v>
      </c>
      <c r="H103" s="5" t="s">
        <v>707</v>
      </c>
      <c r="I103" s="5" t="s">
        <v>235</v>
      </c>
      <c r="J103" s="5">
        <v>2009</v>
      </c>
      <c r="K103" s="36" t="s">
        <v>296</v>
      </c>
      <c r="L103" s="5">
        <v>500</v>
      </c>
      <c r="M103" s="5">
        <v>70</v>
      </c>
      <c r="N103" s="5">
        <v>570</v>
      </c>
      <c r="O103" s="5" t="s">
        <v>653</v>
      </c>
      <c r="P103" s="5"/>
      <c r="Q103" s="5" t="s">
        <v>708</v>
      </c>
      <c r="R103" s="5" t="s">
        <v>238</v>
      </c>
      <c r="S103" s="124" t="s">
        <v>296</v>
      </c>
      <c r="T103" s="36" t="s">
        <v>296</v>
      </c>
      <c r="U103" s="5" t="s">
        <v>478</v>
      </c>
      <c r="V103" s="5" t="s">
        <v>479</v>
      </c>
    </row>
    <row r="104" spans="2:22" ht="15" customHeight="1" x14ac:dyDescent="0.3">
      <c r="B104" s="22">
        <v>97</v>
      </c>
      <c r="C104" s="36" t="s">
        <v>1</v>
      </c>
      <c r="D104" s="5" t="s">
        <v>417</v>
      </c>
      <c r="E104" s="5" t="s">
        <v>709</v>
      </c>
      <c r="F104" s="5" t="s">
        <v>232</v>
      </c>
      <c r="G104" s="5" t="s">
        <v>710</v>
      </c>
      <c r="H104" s="5" t="s">
        <v>421</v>
      </c>
      <c r="I104" s="5" t="s">
        <v>420</v>
      </c>
      <c r="J104" s="5">
        <v>2014</v>
      </c>
      <c r="K104" s="36" t="s">
        <v>296</v>
      </c>
      <c r="L104" s="36" t="s">
        <v>422</v>
      </c>
      <c r="M104" s="36" t="s">
        <v>422</v>
      </c>
      <c r="N104" s="5" t="s">
        <v>420</v>
      </c>
      <c r="O104" s="5" t="s">
        <v>711</v>
      </c>
      <c r="P104" s="36" t="s">
        <v>296</v>
      </c>
      <c r="Q104" s="5" t="s">
        <v>296</v>
      </c>
      <c r="R104" s="5"/>
      <c r="S104" s="90"/>
      <c r="T104" s="36" t="s">
        <v>296</v>
      </c>
      <c r="U104" s="5" t="s">
        <v>543</v>
      </c>
      <c r="V104" s="5" t="s">
        <v>512</v>
      </c>
    </row>
    <row r="105" spans="2:22" ht="15" customHeight="1" x14ac:dyDescent="0.3">
      <c r="B105" s="22">
        <v>98</v>
      </c>
      <c r="C105" s="36" t="s">
        <v>1</v>
      </c>
      <c r="D105" s="5" t="s">
        <v>427</v>
      </c>
      <c r="E105" s="5" t="s">
        <v>712</v>
      </c>
      <c r="F105" s="5" t="s">
        <v>713</v>
      </c>
      <c r="G105" s="5" t="s">
        <v>714</v>
      </c>
      <c r="H105" s="5" t="s">
        <v>715</v>
      </c>
      <c r="I105" s="5" t="s">
        <v>51</v>
      </c>
      <c r="J105" s="5">
        <v>2015</v>
      </c>
      <c r="K105" s="36" t="s">
        <v>296</v>
      </c>
      <c r="L105" s="5">
        <v>60</v>
      </c>
      <c r="M105" s="5">
        <v>15</v>
      </c>
      <c r="N105" s="5">
        <v>75</v>
      </c>
      <c r="O105" s="5" t="s">
        <v>423</v>
      </c>
      <c r="P105" s="5"/>
      <c r="Q105" s="5" t="s">
        <v>716</v>
      </c>
      <c r="R105" s="5" t="s">
        <v>717</v>
      </c>
      <c r="S105" s="90" t="s">
        <v>435</v>
      </c>
      <c r="T105" s="36" t="s">
        <v>296</v>
      </c>
      <c r="U105" s="5" t="s">
        <v>718</v>
      </c>
      <c r="V105" s="5" t="s">
        <v>719</v>
      </c>
    </row>
    <row r="106" spans="2:22" ht="15" customHeight="1" x14ac:dyDescent="0.3">
      <c r="B106" s="22">
        <v>99</v>
      </c>
      <c r="C106" s="36" t="s">
        <v>1</v>
      </c>
      <c r="D106" s="5" t="s">
        <v>417</v>
      </c>
      <c r="E106" s="5" t="s">
        <v>720</v>
      </c>
      <c r="F106" s="5" t="s">
        <v>243</v>
      </c>
      <c r="G106" s="5" t="s">
        <v>420</v>
      </c>
      <c r="H106" s="5" t="s">
        <v>721</v>
      </c>
      <c r="I106" s="5" t="s">
        <v>420</v>
      </c>
      <c r="J106" s="5">
        <v>1998</v>
      </c>
      <c r="K106" s="36" t="s">
        <v>296</v>
      </c>
      <c r="L106" s="5">
        <v>12</v>
      </c>
      <c r="M106" s="36" t="s">
        <v>296</v>
      </c>
      <c r="N106" s="5">
        <v>12</v>
      </c>
      <c r="O106" s="5" t="s">
        <v>722</v>
      </c>
      <c r="P106" s="36" t="s">
        <v>296</v>
      </c>
      <c r="Q106" s="5" t="s">
        <v>723</v>
      </c>
      <c r="R106" s="5" t="s">
        <v>724</v>
      </c>
      <c r="S106" s="124" t="s">
        <v>296</v>
      </c>
      <c r="T106" s="36" t="s">
        <v>296</v>
      </c>
      <c r="U106" s="5" t="s">
        <v>425</v>
      </c>
      <c r="V106" s="5" t="s">
        <v>426</v>
      </c>
    </row>
    <row r="107" spans="2:22" ht="15" customHeight="1" x14ac:dyDescent="0.3">
      <c r="B107" s="22">
        <v>100</v>
      </c>
      <c r="C107" s="36" t="s">
        <v>1</v>
      </c>
      <c r="D107" s="5" t="s">
        <v>417</v>
      </c>
      <c r="E107" s="5" t="s">
        <v>725</v>
      </c>
      <c r="F107" s="5" t="s">
        <v>232</v>
      </c>
      <c r="G107" s="5" t="s">
        <v>726</v>
      </c>
      <c r="H107" s="5" t="s">
        <v>421</v>
      </c>
      <c r="I107" s="5" t="s">
        <v>420</v>
      </c>
      <c r="J107" s="36" t="s">
        <v>296</v>
      </c>
      <c r="K107" s="36" t="s">
        <v>296</v>
      </c>
      <c r="L107" s="36" t="s">
        <v>422</v>
      </c>
      <c r="M107" s="36" t="s">
        <v>422</v>
      </c>
      <c r="N107" s="5" t="s">
        <v>422</v>
      </c>
      <c r="O107" s="5" t="s">
        <v>423</v>
      </c>
      <c r="P107" s="5"/>
      <c r="Q107" s="5" t="s">
        <v>296</v>
      </c>
      <c r="R107" s="5"/>
      <c r="S107" s="90"/>
      <c r="T107" s="36" t="s">
        <v>296</v>
      </c>
      <c r="U107" s="5" t="s">
        <v>543</v>
      </c>
      <c r="V107" s="5" t="s">
        <v>512</v>
      </c>
    </row>
    <row r="108" spans="2:22" ht="15" customHeight="1" x14ac:dyDescent="0.3">
      <c r="B108" s="22">
        <v>101</v>
      </c>
      <c r="C108" s="8" t="s">
        <v>3</v>
      </c>
      <c r="D108" s="8"/>
      <c r="E108" s="8" t="s">
        <v>727</v>
      </c>
      <c r="F108" s="5" t="s">
        <v>243</v>
      </c>
      <c r="G108" s="8" t="s">
        <v>728</v>
      </c>
      <c r="H108" s="8" t="s">
        <v>729</v>
      </c>
      <c r="I108" s="8" t="s">
        <v>51</v>
      </c>
      <c r="J108" s="8">
        <v>2006</v>
      </c>
      <c r="K108" s="8">
        <v>30</v>
      </c>
      <c r="L108" s="8">
        <v>1130</v>
      </c>
      <c r="M108" s="8">
        <v>0</v>
      </c>
      <c r="N108" s="8">
        <v>1160</v>
      </c>
      <c r="O108" s="7" t="s">
        <v>730</v>
      </c>
      <c r="P108" s="7" t="s">
        <v>730</v>
      </c>
      <c r="Q108" s="5" t="s">
        <v>731</v>
      </c>
      <c r="R108" s="5" t="s">
        <v>732</v>
      </c>
      <c r="S108" s="90"/>
      <c r="T108" s="5" t="s">
        <v>43</v>
      </c>
      <c r="U108" s="5" t="s">
        <v>733</v>
      </c>
      <c r="V108" s="5" t="s">
        <v>734</v>
      </c>
    </row>
    <row r="109" spans="2:22" ht="15" customHeight="1" x14ac:dyDescent="0.3">
      <c r="B109" s="22">
        <v>102</v>
      </c>
      <c r="C109" s="5" t="s">
        <v>735</v>
      </c>
      <c r="D109" s="5"/>
      <c r="E109" s="5" t="s">
        <v>736</v>
      </c>
      <c r="F109" s="5" t="s">
        <v>259</v>
      </c>
      <c r="G109" s="5" t="s">
        <v>737</v>
      </c>
      <c r="H109" s="5" t="s">
        <v>738</v>
      </c>
      <c r="I109" s="5" t="s">
        <v>235</v>
      </c>
      <c r="J109" s="5" t="s">
        <v>739</v>
      </c>
      <c r="K109" s="5">
        <v>0</v>
      </c>
      <c r="L109" s="5">
        <v>600</v>
      </c>
      <c r="M109" s="5">
        <v>0</v>
      </c>
      <c r="N109" s="5">
        <v>600</v>
      </c>
      <c r="O109" s="5" t="s">
        <v>740</v>
      </c>
      <c r="P109" s="5"/>
      <c r="Q109" s="5"/>
      <c r="R109" s="5"/>
      <c r="S109" s="90"/>
      <c r="T109" s="5"/>
      <c r="U109" s="5"/>
      <c r="V109" s="5"/>
    </row>
    <row r="110" spans="2:22" ht="15" customHeight="1" x14ac:dyDescent="0.3">
      <c r="B110" s="22">
        <v>103</v>
      </c>
      <c r="C110" s="5" t="s">
        <v>735</v>
      </c>
      <c r="D110" s="5"/>
      <c r="E110" s="5" t="s">
        <v>741</v>
      </c>
      <c r="F110" s="5" t="s">
        <v>429</v>
      </c>
      <c r="G110" s="5" t="s">
        <v>742</v>
      </c>
      <c r="H110" s="5" t="s">
        <v>743</v>
      </c>
      <c r="I110" s="5" t="s">
        <v>235</v>
      </c>
      <c r="J110" s="5" t="s">
        <v>744</v>
      </c>
      <c r="K110" s="5">
        <v>0</v>
      </c>
      <c r="L110" s="5">
        <v>65</v>
      </c>
      <c r="M110" s="5">
        <v>0</v>
      </c>
      <c r="N110" s="5">
        <v>65</v>
      </c>
      <c r="O110" s="5" t="s">
        <v>745</v>
      </c>
      <c r="P110" s="5"/>
      <c r="Q110" s="5"/>
      <c r="R110" s="5"/>
      <c r="S110" s="90"/>
      <c r="T110" s="5"/>
      <c r="U110" s="5"/>
      <c r="V110" s="5"/>
    </row>
    <row r="111" spans="2:22" ht="15" customHeight="1" x14ac:dyDescent="0.3">
      <c r="B111" s="22">
        <v>104</v>
      </c>
      <c r="C111" s="5" t="s">
        <v>735</v>
      </c>
      <c r="D111" s="5"/>
      <c r="E111" s="5" t="s">
        <v>746</v>
      </c>
      <c r="F111" s="5" t="s">
        <v>243</v>
      </c>
      <c r="G111" s="5" t="s">
        <v>747</v>
      </c>
      <c r="H111" s="5" t="s">
        <v>748</v>
      </c>
      <c r="I111" s="5" t="s">
        <v>235</v>
      </c>
      <c r="J111" s="5">
        <v>2022</v>
      </c>
      <c r="K111" s="5"/>
      <c r="L111" s="5">
        <v>250</v>
      </c>
      <c r="M111" s="5"/>
      <c r="N111" s="5">
        <v>250</v>
      </c>
      <c r="O111" s="5">
        <v>0</v>
      </c>
      <c r="P111" s="5">
        <v>0</v>
      </c>
      <c r="Q111" s="5"/>
      <c r="R111" s="5"/>
      <c r="S111" s="90"/>
      <c r="T111" s="5"/>
      <c r="U111" s="5" t="s">
        <v>749</v>
      </c>
      <c r="V111" s="5" t="s">
        <v>750</v>
      </c>
    </row>
    <row r="112" spans="2:22" ht="15" customHeight="1" x14ac:dyDescent="0.3">
      <c r="B112" s="22">
        <v>105</v>
      </c>
      <c r="C112" s="5" t="s">
        <v>735</v>
      </c>
      <c r="D112" s="5"/>
      <c r="E112" s="5" t="s">
        <v>751</v>
      </c>
      <c r="F112" s="5" t="s">
        <v>243</v>
      </c>
      <c r="G112" s="5" t="s">
        <v>752</v>
      </c>
      <c r="H112" s="5" t="s">
        <v>753</v>
      </c>
      <c r="I112" s="5" t="s">
        <v>235</v>
      </c>
      <c r="J112" s="5">
        <v>2022</v>
      </c>
      <c r="K112" s="5"/>
      <c r="L112" s="5">
        <v>250</v>
      </c>
      <c r="M112" s="5"/>
      <c r="N112" s="5">
        <v>250</v>
      </c>
      <c r="O112" s="5">
        <v>0</v>
      </c>
      <c r="P112" s="5">
        <v>0</v>
      </c>
      <c r="Q112" s="5"/>
      <c r="R112" s="5"/>
      <c r="S112" s="90"/>
      <c r="T112" s="5"/>
      <c r="U112" s="5" t="s">
        <v>749</v>
      </c>
      <c r="V112" s="5" t="s">
        <v>750</v>
      </c>
    </row>
    <row r="113" spans="2:22" ht="15" customHeight="1" x14ac:dyDescent="0.3">
      <c r="B113" s="22">
        <v>106</v>
      </c>
      <c r="C113" s="5" t="s">
        <v>735</v>
      </c>
      <c r="D113" s="5"/>
      <c r="E113" s="5" t="s">
        <v>754</v>
      </c>
      <c r="F113" s="5" t="s">
        <v>243</v>
      </c>
      <c r="G113" s="5" t="s">
        <v>747</v>
      </c>
      <c r="H113" s="5" t="s">
        <v>755</v>
      </c>
      <c r="I113" s="5" t="s">
        <v>235</v>
      </c>
      <c r="J113" s="5">
        <v>2022</v>
      </c>
      <c r="K113" s="5"/>
      <c r="L113" s="5">
        <v>250</v>
      </c>
      <c r="M113" s="5"/>
      <c r="N113" s="5">
        <v>250</v>
      </c>
      <c r="O113" s="5">
        <v>0</v>
      </c>
      <c r="P113" s="5">
        <v>0</v>
      </c>
      <c r="Q113" s="5"/>
      <c r="R113" s="5"/>
      <c r="S113" s="90"/>
      <c r="T113" s="5"/>
      <c r="U113" s="5" t="s">
        <v>749</v>
      </c>
      <c r="V113" s="5" t="s">
        <v>750</v>
      </c>
    </row>
    <row r="114" spans="2:22" ht="15" customHeight="1" x14ac:dyDescent="0.3">
      <c r="B114" s="22">
        <v>107</v>
      </c>
      <c r="C114" s="5" t="s">
        <v>735</v>
      </c>
      <c r="D114" s="5"/>
      <c r="E114" s="5" t="s">
        <v>756</v>
      </c>
      <c r="F114" s="5" t="s">
        <v>243</v>
      </c>
      <c r="G114" s="5" t="s">
        <v>757</v>
      </c>
      <c r="H114" s="5" t="s">
        <v>758</v>
      </c>
      <c r="I114" s="5" t="s">
        <v>235</v>
      </c>
      <c r="J114" s="5">
        <v>2022</v>
      </c>
      <c r="K114" s="5"/>
      <c r="L114" s="5">
        <v>280</v>
      </c>
      <c r="M114" s="5"/>
      <c r="N114" s="5">
        <v>280</v>
      </c>
      <c r="O114" s="5">
        <v>0</v>
      </c>
      <c r="P114" s="5">
        <v>0</v>
      </c>
      <c r="Q114" s="5"/>
      <c r="R114" s="5"/>
      <c r="S114" s="90"/>
      <c r="T114" s="5"/>
      <c r="U114" s="5" t="s">
        <v>749</v>
      </c>
      <c r="V114" s="5" t="s">
        <v>750</v>
      </c>
    </row>
    <row r="115" spans="2:22" ht="15" customHeight="1" x14ac:dyDescent="0.3">
      <c r="B115" s="22">
        <v>108</v>
      </c>
      <c r="C115" s="6" t="s">
        <v>3</v>
      </c>
      <c r="D115" s="6" t="s">
        <v>759</v>
      </c>
      <c r="E115" s="6" t="s">
        <v>760</v>
      </c>
      <c r="F115" s="6" t="s">
        <v>95</v>
      </c>
      <c r="G115" s="6" t="s">
        <v>761</v>
      </c>
      <c r="H115" s="6" t="s">
        <v>762</v>
      </c>
      <c r="I115" s="6" t="s">
        <v>763</v>
      </c>
      <c r="J115" s="6">
        <v>2005</v>
      </c>
      <c r="K115" s="6">
        <v>0</v>
      </c>
      <c r="L115" s="6">
        <v>250</v>
      </c>
      <c r="M115" s="6">
        <v>0</v>
      </c>
      <c r="N115" s="6">
        <v>250</v>
      </c>
      <c r="O115" s="6" t="s">
        <v>296</v>
      </c>
      <c r="P115" s="6" t="s">
        <v>296</v>
      </c>
      <c r="Q115" s="6" t="s">
        <v>764</v>
      </c>
      <c r="R115" s="6" t="s">
        <v>542</v>
      </c>
      <c r="S115" s="126" t="s">
        <v>765</v>
      </c>
      <c r="T115" s="5" t="s">
        <v>68</v>
      </c>
      <c r="U115" s="6" t="s">
        <v>766</v>
      </c>
      <c r="V115" s="6" t="s">
        <v>767</v>
      </c>
    </row>
    <row r="116" spans="2:22" ht="15" customHeight="1" x14ac:dyDescent="0.3">
      <c r="B116" s="22">
        <v>109</v>
      </c>
      <c r="C116" s="6" t="s">
        <v>3</v>
      </c>
      <c r="D116" s="6" t="s">
        <v>759</v>
      </c>
      <c r="E116" s="6" t="s">
        <v>768</v>
      </c>
      <c r="F116" s="6" t="s">
        <v>50</v>
      </c>
      <c r="G116" s="6" t="s">
        <v>769</v>
      </c>
      <c r="H116" s="6" t="s">
        <v>770</v>
      </c>
      <c r="I116" s="6" t="s">
        <v>771</v>
      </c>
      <c r="J116" s="6">
        <v>2001</v>
      </c>
      <c r="K116" s="6">
        <v>15</v>
      </c>
      <c r="L116" s="6">
        <v>150</v>
      </c>
      <c r="M116" s="6">
        <v>65</v>
      </c>
      <c r="N116" s="6">
        <v>230</v>
      </c>
      <c r="O116" s="6" t="s">
        <v>772</v>
      </c>
      <c r="P116" s="6" t="s">
        <v>68</v>
      </c>
      <c r="Q116" s="6" t="s">
        <v>773</v>
      </c>
      <c r="R116" s="6" t="s">
        <v>542</v>
      </c>
      <c r="S116" s="126" t="s">
        <v>765</v>
      </c>
      <c r="T116" s="5" t="s">
        <v>43</v>
      </c>
      <c r="U116" s="6" t="s">
        <v>774</v>
      </c>
      <c r="V116" s="6" t="s">
        <v>775</v>
      </c>
    </row>
    <row r="117" spans="2:22" ht="15" customHeight="1" x14ac:dyDescent="0.3">
      <c r="B117" s="22">
        <v>110</v>
      </c>
      <c r="C117" s="5" t="s">
        <v>735</v>
      </c>
      <c r="D117" s="5" t="s">
        <v>776</v>
      </c>
      <c r="E117" s="5" t="s">
        <v>777</v>
      </c>
      <c r="F117" s="5" t="s">
        <v>243</v>
      </c>
      <c r="G117" s="5" t="s">
        <v>778</v>
      </c>
      <c r="H117" s="5" t="s">
        <v>779</v>
      </c>
      <c r="I117" s="5" t="s">
        <v>292</v>
      </c>
      <c r="J117" s="5">
        <v>2004</v>
      </c>
      <c r="K117" s="5" t="s">
        <v>780</v>
      </c>
      <c r="L117" s="5">
        <v>230</v>
      </c>
      <c r="M117" s="5" t="s">
        <v>780</v>
      </c>
      <c r="N117" s="5">
        <v>230</v>
      </c>
      <c r="O117" s="5" t="s">
        <v>781</v>
      </c>
      <c r="P117" s="5" t="s">
        <v>780</v>
      </c>
      <c r="Q117" s="5" t="s">
        <v>782</v>
      </c>
      <c r="R117" s="5" t="s">
        <v>783</v>
      </c>
      <c r="S117" s="90" t="s">
        <v>784</v>
      </c>
      <c r="T117" s="5" t="s">
        <v>780</v>
      </c>
      <c r="U117" s="5" t="s">
        <v>785</v>
      </c>
      <c r="V117" s="5" t="s">
        <v>786</v>
      </c>
    </row>
    <row r="118" spans="2:22" ht="15" customHeight="1" x14ac:dyDescent="0.3">
      <c r="B118" s="22">
        <v>111</v>
      </c>
      <c r="C118" s="5" t="s">
        <v>735</v>
      </c>
      <c r="D118" s="5" t="s">
        <v>787</v>
      </c>
      <c r="E118" s="5" t="s">
        <v>788</v>
      </c>
      <c r="F118" s="5" t="s">
        <v>243</v>
      </c>
      <c r="G118" s="5" t="s">
        <v>789</v>
      </c>
      <c r="H118" s="5" t="s">
        <v>790</v>
      </c>
      <c r="I118" s="5" t="s">
        <v>235</v>
      </c>
      <c r="J118" s="5">
        <v>2019</v>
      </c>
      <c r="K118" s="5">
        <v>0</v>
      </c>
      <c r="L118" s="5">
        <v>400</v>
      </c>
      <c r="M118" s="5">
        <v>100</v>
      </c>
      <c r="N118" s="5">
        <v>500</v>
      </c>
      <c r="O118" s="5">
        <v>0</v>
      </c>
      <c r="P118" s="5">
        <v>0</v>
      </c>
      <c r="Q118" s="5" t="s">
        <v>791</v>
      </c>
      <c r="R118" s="5" t="s">
        <v>247</v>
      </c>
      <c r="S118" s="90" t="s">
        <v>792</v>
      </c>
      <c r="T118" s="5" t="s">
        <v>274</v>
      </c>
      <c r="U118" s="5" t="s">
        <v>793</v>
      </c>
      <c r="V118" s="5" t="s">
        <v>794</v>
      </c>
    </row>
    <row r="119" spans="2:22" ht="15" customHeight="1" x14ac:dyDescent="0.3">
      <c r="B119" s="22">
        <v>112</v>
      </c>
      <c r="C119" s="5" t="s">
        <v>735</v>
      </c>
      <c r="D119" s="5" t="s">
        <v>787</v>
      </c>
      <c r="E119" s="5" t="s">
        <v>795</v>
      </c>
      <c r="F119" s="5" t="s">
        <v>243</v>
      </c>
      <c r="G119" s="5" t="s">
        <v>334</v>
      </c>
      <c r="H119" s="5" t="s">
        <v>796</v>
      </c>
      <c r="I119" s="5" t="s">
        <v>292</v>
      </c>
      <c r="J119" s="5">
        <v>2021</v>
      </c>
      <c r="K119" s="5">
        <v>0</v>
      </c>
      <c r="L119" s="5">
        <v>290</v>
      </c>
      <c r="M119" s="5">
        <v>0</v>
      </c>
      <c r="N119" s="5">
        <v>290</v>
      </c>
      <c r="O119" s="5">
        <v>0</v>
      </c>
      <c r="P119" s="5">
        <v>0</v>
      </c>
      <c r="Q119" s="5" t="s">
        <v>791</v>
      </c>
      <c r="R119" s="5" t="s">
        <v>247</v>
      </c>
      <c r="S119" s="90" t="s">
        <v>792</v>
      </c>
      <c r="T119" s="5" t="s">
        <v>274</v>
      </c>
      <c r="U119" s="5" t="s">
        <v>797</v>
      </c>
      <c r="V119" s="5" t="s">
        <v>798</v>
      </c>
    </row>
    <row r="120" spans="2:22" ht="15" customHeight="1" x14ac:dyDescent="0.3">
      <c r="B120" s="22">
        <v>113</v>
      </c>
      <c r="C120" s="5" t="s">
        <v>735</v>
      </c>
      <c r="D120" s="5" t="s">
        <v>345</v>
      </c>
      <c r="E120" s="5" t="s">
        <v>799</v>
      </c>
      <c r="F120" s="5" t="s">
        <v>259</v>
      </c>
      <c r="G120" s="5" t="s">
        <v>800</v>
      </c>
      <c r="H120" s="5" t="s">
        <v>801</v>
      </c>
      <c r="I120" s="5" t="s">
        <v>235</v>
      </c>
      <c r="J120" s="5">
        <v>1990</v>
      </c>
      <c r="K120" s="5">
        <v>0</v>
      </c>
      <c r="L120" s="5">
        <v>362</v>
      </c>
      <c r="M120" s="5">
        <v>0</v>
      </c>
      <c r="N120" s="5">
        <v>362</v>
      </c>
      <c r="O120" s="5" t="s">
        <v>802</v>
      </c>
      <c r="P120" s="5" t="s">
        <v>802</v>
      </c>
      <c r="Q120" s="5"/>
      <c r="R120" s="5"/>
      <c r="S120" s="90"/>
      <c r="T120" s="5" t="s">
        <v>274</v>
      </c>
      <c r="U120" s="5" t="s">
        <v>803</v>
      </c>
      <c r="V120" s="5" t="s">
        <v>804</v>
      </c>
    </row>
    <row r="121" spans="2:22" ht="15" customHeight="1" x14ac:dyDescent="0.3">
      <c r="B121" s="22">
        <v>114</v>
      </c>
      <c r="C121" s="5" t="s">
        <v>735</v>
      </c>
      <c r="D121" s="5" t="s">
        <v>678</v>
      </c>
      <c r="E121" s="5" t="s">
        <v>805</v>
      </c>
      <c r="F121" s="5" t="s">
        <v>55</v>
      </c>
      <c r="G121" s="5" t="s">
        <v>806</v>
      </c>
      <c r="H121" s="5" t="s">
        <v>807</v>
      </c>
      <c r="I121" s="5" t="s">
        <v>292</v>
      </c>
      <c r="J121" s="5" t="s">
        <v>739</v>
      </c>
      <c r="K121" s="5"/>
      <c r="L121" s="5">
        <v>150</v>
      </c>
      <c r="M121" s="5">
        <v>0</v>
      </c>
      <c r="N121" s="5">
        <v>150</v>
      </c>
      <c r="O121" s="5" t="s">
        <v>263</v>
      </c>
      <c r="P121" s="5"/>
      <c r="Q121" s="5" t="s">
        <v>808</v>
      </c>
      <c r="R121" s="5" t="s">
        <v>247</v>
      </c>
      <c r="S121" s="90" t="s">
        <v>809</v>
      </c>
      <c r="T121" s="5"/>
      <c r="U121" s="5" t="s">
        <v>810</v>
      </c>
      <c r="V121" s="5" t="s">
        <v>811</v>
      </c>
    </row>
    <row r="122" spans="2:22" ht="15" customHeight="1" x14ac:dyDescent="0.3">
      <c r="B122" s="22">
        <v>115</v>
      </c>
      <c r="C122" s="5" t="s">
        <v>735</v>
      </c>
      <c r="D122" s="5" t="s">
        <v>257</v>
      </c>
      <c r="E122" s="5" t="s">
        <v>812</v>
      </c>
      <c r="F122" s="5" t="s">
        <v>243</v>
      </c>
      <c r="G122" s="5" t="s">
        <v>813</v>
      </c>
      <c r="H122" s="5" t="s">
        <v>814</v>
      </c>
      <c r="I122" s="5" t="s">
        <v>235</v>
      </c>
      <c r="J122" s="5">
        <v>2014</v>
      </c>
      <c r="K122" s="5">
        <v>0</v>
      </c>
      <c r="L122" s="5">
        <v>209</v>
      </c>
      <c r="M122" s="5">
        <v>0</v>
      </c>
      <c r="N122" s="5">
        <v>209</v>
      </c>
      <c r="O122" s="5">
        <v>5000</v>
      </c>
      <c r="P122" s="5">
        <v>1000</v>
      </c>
      <c r="Q122" s="5" t="s">
        <v>815</v>
      </c>
      <c r="R122" s="5" t="s">
        <v>247</v>
      </c>
      <c r="S122" s="90" t="s">
        <v>816</v>
      </c>
      <c r="T122" s="5"/>
      <c r="U122" s="5"/>
      <c r="V122" s="5"/>
    </row>
    <row r="123" spans="2:22" ht="15" customHeight="1" x14ac:dyDescent="0.3">
      <c r="B123" s="22">
        <v>116</v>
      </c>
      <c r="C123" s="5" t="s">
        <v>735</v>
      </c>
      <c r="D123" s="5" t="s">
        <v>817</v>
      </c>
      <c r="E123" s="5" t="s">
        <v>818</v>
      </c>
      <c r="F123" s="5" t="s">
        <v>429</v>
      </c>
      <c r="G123" s="5" t="s">
        <v>819</v>
      </c>
      <c r="H123" s="5" t="s">
        <v>820</v>
      </c>
      <c r="I123" s="5" t="s">
        <v>292</v>
      </c>
      <c r="J123" s="5" t="s">
        <v>821</v>
      </c>
      <c r="K123" s="5">
        <v>0</v>
      </c>
      <c r="L123" s="5">
        <v>700</v>
      </c>
      <c r="M123" s="5">
        <v>0</v>
      </c>
      <c r="N123" s="5">
        <v>700</v>
      </c>
      <c r="O123" s="5" t="s">
        <v>822</v>
      </c>
      <c r="P123" s="5" t="s">
        <v>601</v>
      </c>
      <c r="Q123" s="5" t="s">
        <v>823</v>
      </c>
      <c r="R123" s="5" t="s">
        <v>247</v>
      </c>
      <c r="S123" s="90" t="s">
        <v>824</v>
      </c>
      <c r="T123" s="5" t="s">
        <v>296</v>
      </c>
      <c r="U123" s="5" t="s">
        <v>825</v>
      </c>
      <c r="V123" s="5" t="s">
        <v>826</v>
      </c>
    </row>
    <row r="124" spans="2:22" ht="15" customHeight="1" x14ac:dyDescent="0.3">
      <c r="B124" s="22">
        <v>117</v>
      </c>
      <c r="C124" s="7" t="s">
        <v>735</v>
      </c>
      <c r="D124" s="7" t="s">
        <v>827</v>
      </c>
      <c r="E124" s="7" t="s">
        <v>828</v>
      </c>
      <c r="F124" s="7" t="s">
        <v>243</v>
      </c>
      <c r="G124" s="7" t="s">
        <v>829</v>
      </c>
      <c r="H124" s="7" t="s">
        <v>830</v>
      </c>
      <c r="I124" s="7" t="s">
        <v>292</v>
      </c>
      <c r="J124" s="7" t="s">
        <v>831</v>
      </c>
      <c r="K124" s="7">
        <v>0</v>
      </c>
      <c r="L124" s="7">
        <v>600</v>
      </c>
      <c r="M124" s="7">
        <v>0</v>
      </c>
      <c r="N124" s="7">
        <v>600</v>
      </c>
      <c r="O124" s="7" t="s">
        <v>730</v>
      </c>
      <c r="P124" s="7" t="s">
        <v>730</v>
      </c>
      <c r="Q124" s="7" t="s">
        <v>832</v>
      </c>
      <c r="R124" s="7" t="s">
        <v>266</v>
      </c>
      <c r="S124" s="127" t="s">
        <v>833</v>
      </c>
      <c r="T124" s="7"/>
      <c r="U124" s="7" t="s">
        <v>834</v>
      </c>
      <c r="V124" s="7" t="s">
        <v>835</v>
      </c>
    </row>
    <row r="125" spans="2:22" ht="15" customHeight="1" x14ac:dyDescent="0.3">
      <c r="B125" s="22">
        <v>118</v>
      </c>
      <c r="C125" s="8" t="s">
        <v>12</v>
      </c>
      <c r="D125" s="8" t="s">
        <v>836</v>
      </c>
      <c r="E125" s="9" t="s">
        <v>837</v>
      </c>
      <c r="F125" s="8" t="s">
        <v>55</v>
      </c>
      <c r="G125" s="8" t="s">
        <v>838</v>
      </c>
      <c r="H125" s="8" t="s">
        <v>839</v>
      </c>
      <c r="I125" s="8" t="s">
        <v>67</v>
      </c>
      <c r="J125" s="8">
        <v>2000</v>
      </c>
      <c r="K125" s="10">
        <v>850</v>
      </c>
      <c r="L125" s="11">
        <v>3480</v>
      </c>
      <c r="M125" s="11">
        <v>1320</v>
      </c>
      <c r="N125" s="11">
        <v>5650</v>
      </c>
      <c r="O125" s="12">
        <v>13472</v>
      </c>
      <c r="P125" s="8">
        <v>99</v>
      </c>
      <c r="Q125" s="8" t="s">
        <v>840</v>
      </c>
      <c r="R125" s="8" t="s">
        <v>42</v>
      </c>
      <c r="S125" s="84" t="s">
        <v>841</v>
      </c>
      <c r="T125" s="8" t="s">
        <v>43</v>
      </c>
      <c r="U125" s="8" t="s">
        <v>842</v>
      </c>
      <c r="V125" s="8" t="s">
        <v>843</v>
      </c>
    </row>
    <row r="126" spans="2:22" ht="15" customHeight="1" x14ac:dyDescent="0.3">
      <c r="B126" s="22">
        <v>119</v>
      </c>
      <c r="C126" s="8" t="s">
        <v>12</v>
      </c>
      <c r="D126" s="8" t="s">
        <v>836</v>
      </c>
      <c r="E126" s="13" t="s">
        <v>844</v>
      </c>
      <c r="F126" s="8" t="s">
        <v>55</v>
      </c>
      <c r="G126" s="14" t="s">
        <v>223</v>
      </c>
      <c r="H126" s="8" t="s">
        <v>845</v>
      </c>
      <c r="I126" s="8" t="s">
        <v>67</v>
      </c>
      <c r="J126" s="8">
        <v>2022</v>
      </c>
      <c r="K126" s="10">
        <v>200</v>
      </c>
      <c r="L126" s="10">
        <v>200</v>
      </c>
      <c r="M126" s="10">
        <v>0</v>
      </c>
      <c r="N126" s="10">
        <v>400</v>
      </c>
      <c r="O126" s="8" t="s">
        <v>846</v>
      </c>
      <c r="P126" s="8"/>
      <c r="Q126" s="14" t="s">
        <v>836</v>
      </c>
      <c r="R126" s="14" t="s">
        <v>732</v>
      </c>
      <c r="S126" s="128"/>
      <c r="T126" s="8" t="s">
        <v>43</v>
      </c>
      <c r="U126" s="8" t="s">
        <v>847</v>
      </c>
      <c r="V126" s="8" t="s">
        <v>848</v>
      </c>
    </row>
    <row r="127" spans="2:22" ht="15" customHeight="1" x14ac:dyDescent="0.3">
      <c r="B127" s="22">
        <v>120</v>
      </c>
      <c r="C127" s="8" t="s">
        <v>12</v>
      </c>
      <c r="D127" s="8" t="s">
        <v>836</v>
      </c>
      <c r="E127" s="7" t="s">
        <v>849</v>
      </c>
      <c r="F127" s="5" t="s">
        <v>55</v>
      </c>
      <c r="G127" s="5" t="s">
        <v>850</v>
      </c>
      <c r="H127" s="5" t="s">
        <v>851</v>
      </c>
      <c r="I127" s="5" t="s">
        <v>67</v>
      </c>
      <c r="J127" s="5">
        <v>1997</v>
      </c>
      <c r="K127" s="15"/>
      <c r="L127" s="15">
        <v>216</v>
      </c>
      <c r="M127" s="15">
        <v>41</v>
      </c>
      <c r="N127" s="15">
        <v>257</v>
      </c>
      <c r="O127" s="16">
        <v>40000</v>
      </c>
      <c r="P127" s="5"/>
      <c r="Q127" s="5" t="s">
        <v>852</v>
      </c>
      <c r="R127" s="5" t="s">
        <v>853</v>
      </c>
      <c r="S127" s="90"/>
      <c r="T127" s="5"/>
      <c r="U127" s="5" t="s">
        <v>854</v>
      </c>
      <c r="V127" s="5" t="s">
        <v>855</v>
      </c>
    </row>
    <row r="128" spans="2:22" ht="15" customHeight="1" x14ac:dyDescent="0.3">
      <c r="B128" s="22">
        <v>121</v>
      </c>
      <c r="C128" s="8" t="s">
        <v>12</v>
      </c>
      <c r="D128" s="8" t="s">
        <v>836</v>
      </c>
      <c r="E128" s="7" t="s">
        <v>856</v>
      </c>
      <c r="F128" s="7" t="s">
        <v>55</v>
      </c>
      <c r="G128" s="17" t="s">
        <v>857</v>
      </c>
      <c r="H128" s="7" t="s">
        <v>845</v>
      </c>
      <c r="I128" s="7" t="s">
        <v>67</v>
      </c>
      <c r="J128" s="7">
        <v>2016</v>
      </c>
      <c r="K128" s="18">
        <v>35</v>
      </c>
      <c r="L128" s="18">
        <v>35</v>
      </c>
      <c r="M128" s="18"/>
      <c r="N128" s="18">
        <v>70</v>
      </c>
      <c r="O128" s="7" t="s">
        <v>846</v>
      </c>
      <c r="P128" s="7"/>
      <c r="Q128" s="17" t="s">
        <v>836</v>
      </c>
      <c r="R128" s="17" t="s">
        <v>732</v>
      </c>
      <c r="S128" s="129"/>
      <c r="T128" s="7" t="s">
        <v>43</v>
      </c>
      <c r="U128" s="7" t="s">
        <v>847</v>
      </c>
      <c r="V128" s="7" t="s">
        <v>858</v>
      </c>
    </row>
    <row r="129" spans="2:22" ht="15" customHeight="1" x14ac:dyDescent="0.3">
      <c r="B129" s="22">
        <v>122</v>
      </c>
      <c r="C129" s="8" t="s">
        <v>12</v>
      </c>
      <c r="D129" s="8" t="s">
        <v>836</v>
      </c>
      <c r="E129" s="7" t="s">
        <v>859</v>
      </c>
      <c r="F129" s="8" t="s">
        <v>55</v>
      </c>
      <c r="G129" s="8" t="s">
        <v>860</v>
      </c>
      <c r="H129" s="8" t="s">
        <v>845</v>
      </c>
      <c r="I129" s="8" t="s">
        <v>51</v>
      </c>
      <c r="J129" s="8">
        <v>1975</v>
      </c>
      <c r="K129" s="10"/>
      <c r="L129" s="10">
        <v>540</v>
      </c>
      <c r="M129" s="10"/>
      <c r="N129" s="10">
        <v>540</v>
      </c>
      <c r="O129" s="8" t="s">
        <v>861</v>
      </c>
      <c r="P129" s="8"/>
      <c r="Q129" s="8" t="s">
        <v>862</v>
      </c>
      <c r="R129" s="8" t="s">
        <v>853</v>
      </c>
      <c r="S129" s="84" t="s">
        <v>863</v>
      </c>
      <c r="T129" s="8"/>
      <c r="U129" s="8" t="s">
        <v>864</v>
      </c>
      <c r="V129" s="8" t="s">
        <v>865</v>
      </c>
    </row>
    <row r="130" spans="2:22" ht="15" customHeight="1" x14ac:dyDescent="0.3">
      <c r="B130" s="22">
        <v>123</v>
      </c>
      <c r="C130" s="8" t="s">
        <v>12</v>
      </c>
      <c r="D130" s="8" t="s">
        <v>836</v>
      </c>
      <c r="E130" s="13" t="s">
        <v>866</v>
      </c>
      <c r="F130" s="8" t="s">
        <v>50</v>
      </c>
      <c r="G130" s="8" t="s">
        <v>867</v>
      </c>
      <c r="H130" s="8" t="s">
        <v>868</v>
      </c>
      <c r="I130" s="8" t="s">
        <v>67</v>
      </c>
      <c r="J130" s="8">
        <v>1959</v>
      </c>
      <c r="K130" s="10"/>
      <c r="L130" s="10">
        <v>80</v>
      </c>
      <c r="M130" s="10"/>
      <c r="N130" s="10">
        <v>80</v>
      </c>
      <c r="O130" s="8" t="s">
        <v>869</v>
      </c>
      <c r="P130" s="8"/>
      <c r="Q130" s="8" t="s">
        <v>870</v>
      </c>
      <c r="R130" s="8" t="s">
        <v>173</v>
      </c>
      <c r="S130" s="84"/>
      <c r="T130" s="8"/>
      <c r="U130" s="8" t="s">
        <v>871</v>
      </c>
      <c r="V130" s="8" t="s">
        <v>872</v>
      </c>
    </row>
    <row r="131" spans="2:22" ht="15" customHeight="1" x14ac:dyDescent="0.3">
      <c r="B131" s="22">
        <v>124</v>
      </c>
      <c r="C131" s="8" t="s">
        <v>12</v>
      </c>
      <c r="D131" s="8" t="s">
        <v>836</v>
      </c>
      <c r="E131" s="13" t="s">
        <v>873</v>
      </c>
      <c r="F131" s="5" t="s">
        <v>55</v>
      </c>
      <c r="G131" s="5" t="s">
        <v>874</v>
      </c>
      <c r="H131" s="5" t="s">
        <v>875</v>
      </c>
      <c r="I131" s="5" t="s">
        <v>67</v>
      </c>
      <c r="J131" s="5">
        <v>2016</v>
      </c>
      <c r="K131" s="19"/>
      <c r="L131" s="15">
        <v>450</v>
      </c>
      <c r="M131" s="15">
        <v>50</v>
      </c>
      <c r="N131" s="15">
        <v>500</v>
      </c>
      <c r="O131" s="20">
        <v>1500</v>
      </c>
      <c r="P131" s="5"/>
      <c r="Q131" s="5" t="s">
        <v>876</v>
      </c>
      <c r="R131" s="5" t="s">
        <v>877</v>
      </c>
      <c r="S131" s="90"/>
      <c r="T131" s="22"/>
      <c r="U131" s="5" t="s">
        <v>878</v>
      </c>
      <c r="V131" s="5" t="s">
        <v>879</v>
      </c>
    </row>
    <row r="132" spans="2:22" ht="15" customHeight="1" x14ac:dyDescent="0.3">
      <c r="B132" s="22">
        <v>125</v>
      </c>
      <c r="C132" s="8" t="s">
        <v>12</v>
      </c>
      <c r="D132" s="8" t="s">
        <v>836</v>
      </c>
      <c r="E132" s="13" t="s">
        <v>880</v>
      </c>
      <c r="F132" s="8" t="s">
        <v>390</v>
      </c>
      <c r="G132" s="8" t="s">
        <v>881</v>
      </c>
      <c r="H132" s="8" t="s">
        <v>882</v>
      </c>
      <c r="I132" s="8" t="s">
        <v>51</v>
      </c>
      <c r="J132" s="8">
        <v>2010</v>
      </c>
      <c r="K132" s="10"/>
      <c r="L132" s="10">
        <v>430</v>
      </c>
      <c r="M132" s="10"/>
      <c r="N132" s="10">
        <v>430</v>
      </c>
      <c r="O132" s="12">
        <v>100247</v>
      </c>
      <c r="P132" s="8"/>
      <c r="Q132" s="8" t="s">
        <v>836</v>
      </c>
      <c r="R132" s="8" t="s">
        <v>732</v>
      </c>
      <c r="S132" s="84"/>
      <c r="T132" s="8"/>
      <c r="U132" s="8" t="s">
        <v>883</v>
      </c>
      <c r="V132" s="8" t="s">
        <v>884</v>
      </c>
    </row>
    <row r="133" spans="2:22" ht="15" customHeight="1" x14ac:dyDescent="0.3">
      <c r="B133" s="22">
        <v>126</v>
      </c>
      <c r="C133" s="8" t="s">
        <v>12</v>
      </c>
      <c r="D133" s="8" t="s">
        <v>836</v>
      </c>
      <c r="E133" s="13" t="s">
        <v>885</v>
      </c>
      <c r="F133" s="22" t="s">
        <v>55</v>
      </c>
      <c r="G133" s="22" t="s">
        <v>440</v>
      </c>
      <c r="H133" s="22" t="s">
        <v>886</v>
      </c>
      <c r="I133" s="22" t="s">
        <v>67</v>
      </c>
      <c r="J133" s="22">
        <v>2018</v>
      </c>
      <c r="K133" s="21"/>
      <c r="L133" s="21">
        <v>35</v>
      </c>
      <c r="M133" s="21"/>
      <c r="N133" s="21">
        <v>35</v>
      </c>
      <c r="O133" s="22" t="s">
        <v>869</v>
      </c>
      <c r="P133" s="22"/>
      <c r="Q133" s="22" t="s">
        <v>887</v>
      </c>
      <c r="R133" s="22" t="s">
        <v>888</v>
      </c>
      <c r="S133" s="88"/>
      <c r="T133" s="22"/>
      <c r="U133" s="22" t="s">
        <v>871</v>
      </c>
      <c r="V133" s="22" t="s">
        <v>889</v>
      </c>
    </row>
    <row r="134" spans="2:22" ht="15" customHeight="1" x14ac:dyDescent="0.3">
      <c r="B134" s="22">
        <v>127</v>
      </c>
      <c r="C134" s="8" t="s">
        <v>12</v>
      </c>
      <c r="D134" s="8" t="s">
        <v>836</v>
      </c>
      <c r="E134" s="22" t="s">
        <v>890</v>
      </c>
      <c r="F134" s="22" t="s">
        <v>50</v>
      </c>
      <c r="G134" s="22" t="s">
        <v>891</v>
      </c>
      <c r="H134" s="22" t="s">
        <v>892</v>
      </c>
      <c r="I134" s="22" t="s">
        <v>67</v>
      </c>
      <c r="J134" s="22">
        <v>2011</v>
      </c>
      <c r="K134" s="22"/>
      <c r="L134" s="22">
        <v>17.850000000000001</v>
      </c>
      <c r="M134" s="22"/>
      <c r="N134" s="22">
        <v>17.850000000000001</v>
      </c>
      <c r="O134" s="23" t="s">
        <v>869</v>
      </c>
      <c r="P134" s="22"/>
      <c r="Q134" s="22" t="s">
        <v>893</v>
      </c>
      <c r="R134" s="22" t="s">
        <v>853</v>
      </c>
      <c r="S134" s="88"/>
      <c r="T134" s="22"/>
      <c r="U134" s="22" t="s">
        <v>894</v>
      </c>
      <c r="V134" s="22" t="s">
        <v>895</v>
      </c>
    </row>
    <row r="135" spans="2:22" ht="15" customHeight="1" x14ac:dyDescent="0.3">
      <c r="B135" s="22">
        <v>128</v>
      </c>
      <c r="C135" s="8" t="s">
        <v>12</v>
      </c>
      <c r="D135" s="8" t="s">
        <v>896</v>
      </c>
      <c r="E135" s="8" t="s">
        <v>897</v>
      </c>
      <c r="F135" s="8" t="s">
        <v>898</v>
      </c>
      <c r="G135" s="8" t="s">
        <v>899</v>
      </c>
      <c r="H135" s="8" t="s">
        <v>900</v>
      </c>
      <c r="I135" s="8" t="s">
        <v>67</v>
      </c>
      <c r="J135" s="8">
        <v>2013</v>
      </c>
      <c r="K135" s="8"/>
      <c r="L135" s="8">
        <v>859</v>
      </c>
      <c r="M135" s="8"/>
      <c r="N135" s="8">
        <v>859</v>
      </c>
      <c r="O135" s="12">
        <v>90817</v>
      </c>
      <c r="P135" s="8"/>
      <c r="Q135" s="8" t="s">
        <v>901</v>
      </c>
      <c r="R135" s="8" t="s">
        <v>853</v>
      </c>
      <c r="S135" s="84" t="s">
        <v>902</v>
      </c>
      <c r="T135" s="8"/>
      <c r="U135" s="8" t="s">
        <v>903</v>
      </c>
      <c r="V135" s="8" t="s">
        <v>904</v>
      </c>
    </row>
    <row r="136" spans="2:22" ht="15" customHeight="1" x14ac:dyDescent="0.3">
      <c r="B136" s="22">
        <v>129</v>
      </c>
      <c r="C136" s="8" t="s">
        <v>12</v>
      </c>
      <c r="D136" s="8" t="s">
        <v>896</v>
      </c>
      <c r="E136" s="8" t="s">
        <v>905</v>
      </c>
      <c r="F136" s="8" t="s">
        <v>906</v>
      </c>
      <c r="G136" s="8" t="s">
        <v>907</v>
      </c>
      <c r="H136" s="8" t="s">
        <v>908</v>
      </c>
      <c r="I136" s="8" t="s">
        <v>67</v>
      </c>
      <c r="J136" s="8">
        <v>2006</v>
      </c>
      <c r="K136" s="8"/>
      <c r="L136" s="8">
        <v>234</v>
      </c>
      <c r="M136" s="8"/>
      <c r="N136" s="8">
        <v>234</v>
      </c>
      <c r="O136" s="8" t="s">
        <v>846</v>
      </c>
      <c r="P136" s="8"/>
      <c r="Q136" s="8" t="s">
        <v>909</v>
      </c>
      <c r="R136" s="8" t="s">
        <v>853</v>
      </c>
      <c r="S136" s="84" t="s">
        <v>902</v>
      </c>
      <c r="T136" s="8"/>
      <c r="U136" s="8" t="s">
        <v>910</v>
      </c>
      <c r="V136" s="8" t="s">
        <v>911</v>
      </c>
    </row>
    <row r="137" spans="2:22" ht="15" customHeight="1" x14ac:dyDescent="0.3">
      <c r="B137" s="22">
        <v>130</v>
      </c>
      <c r="C137" s="8" t="s">
        <v>12</v>
      </c>
      <c r="D137" s="8" t="s">
        <v>896</v>
      </c>
      <c r="E137" s="8" t="s">
        <v>912</v>
      </c>
      <c r="F137" s="8" t="s">
        <v>390</v>
      </c>
      <c r="G137" s="8" t="s">
        <v>440</v>
      </c>
      <c r="H137" s="8" t="s">
        <v>913</v>
      </c>
      <c r="I137" s="8" t="s">
        <v>67</v>
      </c>
      <c r="J137" s="8">
        <v>2020</v>
      </c>
      <c r="K137" s="8"/>
      <c r="L137" s="8">
        <v>90</v>
      </c>
      <c r="M137" s="8"/>
      <c r="N137" s="8">
        <v>90</v>
      </c>
      <c r="O137" s="8" t="s">
        <v>846</v>
      </c>
      <c r="P137" s="8"/>
      <c r="Q137" s="8" t="s">
        <v>896</v>
      </c>
      <c r="R137" s="8" t="s">
        <v>732</v>
      </c>
      <c r="S137" s="84"/>
      <c r="T137" s="8"/>
      <c r="U137" s="8" t="s">
        <v>914</v>
      </c>
      <c r="V137" s="8" t="s">
        <v>915</v>
      </c>
    </row>
    <row r="138" spans="2:22" ht="15" customHeight="1" x14ac:dyDescent="0.3">
      <c r="B138" s="22">
        <v>131</v>
      </c>
      <c r="C138" s="8" t="s">
        <v>12</v>
      </c>
      <c r="D138" s="8" t="s">
        <v>896</v>
      </c>
      <c r="E138" s="8" t="s">
        <v>916</v>
      </c>
      <c r="F138" s="8" t="s">
        <v>917</v>
      </c>
      <c r="G138" s="8" t="s">
        <v>918</v>
      </c>
      <c r="H138" s="8" t="s">
        <v>919</v>
      </c>
      <c r="I138" s="8" t="s">
        <v>67</v>
      </c>
      <c r="J138" s="8">
        <v>2022</v>
      </c>
      <c r="K138" s="8"/>
      <c r="L138" s="8">
        <v>200</v>
      </c>
      <c r="M138" s="8"/>
      <c r="N138" s="8">
        <v>200</v>
      </c>
      <c r="O138" s="8" t="s">
        <v>68</v>
      </c>
      <c r="P138" s="8"/>
      <c r="Q138" s="8" t="s">
        <v>896</v>
      </c>
      <c r="R138" s="8" t="s">
        <v>732</v>
      </c>
      <c r="S138" s="84"/>
      <c r="T138" s="8"/>
      <c r="U138" s="8" t="s">
        <v>920</v>
      </c>
      <c r="V138" s="8" t="s">
        <v>921</v>
      </c>
    </row>
    <row r="139" spans="2:22" ht="15" customHeight="1" x14ac:dyDescent="0.3">
      <c r="B139" s="22">
        <v>132</v>
      </c>
      <c r="C139" s="8" t="s">
        <v>12</v>
      </c>
      <c r="D139" s="8" t="s">
        <v>922</v>
      </c>
      <c r="E139" s="8" t="s">
        <v>923</v>
      </c>
      <c r="F139" s="8" t="s">
        <v>50</v>
      </c>
      <c r="G139" s="8" t="s">
        <v>440</v>
      </c>
      <c r="H139" s="8" t="s">
        <v>924</v>
      </c>
      <c r="I139" s="8" t="s">
        <v>67</v>
      </c>
      <c r="J139" s="8">
        <v>2004</v>
      </c>
      <c r="K139" s="8"/>
      <c r="L139" s="8">
        <v>870</v>
      </c>
      <c r="M139" s="8"/>
      <c r="N139" s="8">
        <v>870</v>
      </c>
      <c r="O139" s="12">
        <v>48454</v>
      </c>
      <c r="P139" s="8"/>
      <c r="Q139" s="8" t="s">
        <v>925</v>
      </c>
      <c r="R139" s="8" t="s">
        <v>42</v>
      </c>
      <c r="S139" s="84" t="s">
        <v>926</v>
      </c>
      <c r="T139" s="8"/>
      <c r="U139" s="8" t="s">
        <v>927</v>
      </c>
      <c r="V139" s="8" t="s">
        <v>928</v>
      </c>
    </row>
    <row r="140" spans="2:22" ht="15" customHeight="1" x14ac:dyDescent="0.3">
      <c r="B140" s="22">
        <v>133</v>
      </c>
      <c r="C140" s="8" t="s">
        <v>12</v>
      </c>
      <c r="D140" s="8" t="s">
        <v>922</v>
      </c>
      <c r="E140" s="8" t="s">
        <v>929</v>
      </c>
      <c r="F140" s="8" t="s">
        <v>95</v>
      </c>
      <c r="G140" s="8" t="s">
        <v>930</v>
      </c>
      <c r="H140" s="8" t="s">
        <v>931</v>
      </c>
      <c r="I140" s="8" t="s">
        <v>51</v>
      </c>
      <c r="J140" s="8">
        <v>2004</v>
      </c>
      <c r="K140" s="8"/>
      <c r="L140" s="12">
        <v>1299</v>
      </c>
      <c r="M140" s="8"/>
      <c r="N140" s="12">
        <v>1299</v>
      </c>
      <c r="O140" s="8" t="s">
        <v>932</v>
      </c>
      <c r="P140" s="8"/>
      <c r="Q140" s="8" t="s">
        <v>933</v>
      </c>
      <c r="R140" s="8" t="s">
        <v>732</v>
      </c>
      <c r="S140" s="84"/>
      <c r="T140" s="8"/>
      <c r="U140" s="8" t="s">
        <v>934</v>
      </c>
      <c r="V140" s="8" t="s">
        <v>935</v>
      </c>
    </row>
    <row r="141" spans="2:22" ht="15" customHeight="1" x14ac:dyDescent="0.3">
      <c r="B141" s="22">
        <v>134</v>
      </c>
      <c r="C141" s="8" t="s">
        <v>12</v>
      </c>
      <c r="D141" s="8" t="s">
        <v>922</v>
      </c>
      <c r="E141" s="8" t="s">
        <v>936</v>
      </c>
      <c r="F141" s="8" t="s">
        <v>95</v>
      </c>
      <c r="G141" s="8" t="s">
        <v>702</v>
      </c>
      <c r="H141" s="8" t="s">
        <v>937</v>
      </c>
      <c r="I141" s="8" t="s">
        <v>51</v>
      </c>
      <c r="J141" s="8">
        <v>2019</v>
      </c>
      <c r="K141" s="8"/>
      <c r="L141" s="8">
        <v>32</v>
      </c>
      <c r="M141" s="8"/>
      <c r="N141" s="8">
        <v>32</v>
      </c>
      <c r="O141" s="8" t="s">
        <v>938</v>
      </c>
      <c r="P141" s="8"/>
      <c r="Q141" s="8" t="s">
        <v>937</v>
      </c>
      <c r="R141" s="8" t="s">
        <v>888</v>
      </c>
      <c r="S141" s="84"/>
      <c r="T141" s="8"/>
      <c r="U141" s="8" t="s">
        <v>927</v>
      </c>
      <c r="V141" s="8" t="s">
        <v>928</v>
      </c>
    </row>
    <row r="142" spans="2:22" ht="15" customHeight="1" x14ac:dyDescent="0.3">
      <c r="B142" s="22">
        <v>135</v>
      </c>
      <c r="C142" s="8" t="s">
        <v>12</v>
      </c>
      <c r="D142" s="8" t="s">
        <v>922</v>
      </c>
      <c r="E142" s="8" t="s">
        <v>939</v>
      </c>
      <c r="F142" s="8" t="s">
        <v>106</v>
      </c>
      <c r="G142" s="8" t="s">
        <v>702</v>
      </c>
      <c r="H142" s="8" t="s">
        <v>940</v>
      </c>
      <c r="I142" s="8" t="s">
        <v>51</v>
      </c>
      <c r="J142" s="8">
        <v>2022</v>
      </c>
      <c r="K142" s="8"/>
      <c r="L142" s="8">
        <v>23</v>
      </c>
      <c r="M142" s="8"/>
      <c r="N142" s="8">
        <v>23</v>
      </c>
      <c r="O142" s="8" t="s">
        <v>68</v>
      </c>
      <c r="P142" s="8"/>
      <c r="Q142" s="8" t="s">
        <v>940</v>
      </c>
      <c r="R142" s="8" t="s">
        <v>888</v>
      </c>
      <c r="S142" s="84"/>
      <c r="T142" s="8"/>
      <c r="U142" s="8" t="s">
        <v>927</v>
      </c>
      <c r="V142" s="8" t="s">
        <v>928</v>
      </c>
    </row>
    <row r="143" spans="2:22" ht="15" customHeight="1" x14ac:dyDescent="0.3">
      <c r="B143" s="22">
        <v>136</v>
      </c>
      <c r="C143" s="8" t="s">
        <v>12</v>
      </c>
      <c r="D143" s="8" t="s">
        <v>941</v>
      </c>
      <c r="E143" s="8" t="s">
        <v>942</v>
      </c>
      <c r="F143" s="8" t="s">
        <v>95</v>
      </c>
      <c r="G143" s="8" t="s">
        <v>943</v>
      </c>
      <c r="H143" s="8" t="s">
        <v>944</v>
      </c>
      <c r="I143" s="8" t="s">
        <v>51</v>
      </c>
      <c r="J143" s="8">
        <v>1991</v>
      </c>
      <c r="K143" s="8"/>
      <c r="L143" s="8">
        <v>250</v>
      </c>
      <c r="M143" s="8"/>
      <c r="N143" s="8">
        <v>250</v>
      </c>
      <c r="O143" s="24" t="s">
        <v>846</v>
      </c>
      <c r="P143" s="8"/>
      <c r="Q143" s="8" t="s">
        <v>941</v>
      </c>
      <c r="R143" s="8" t="s">
        <v>732</v>
      </c>
      <c r="S143" s="130"/>
      <c r="T143" s="8"/>
      <c r="U143" s="8" t="s">
        <v>945</v>
      </c>
      <c r="V143" s="8" t="s">
        <v>946</v>
      </c>
    </row>
    <row r="144" spans="2:22" ht="15" customHeight="1" x14ac:dyDescent="0.3">
      <c r="B144" s="22">
        <v>137</v>
      </c>
      <c r="C144" s="8" t="s">
        <v>12</v>
      </c>
      <c r="D144" s="8" t="s">
        <v>941</v>
      </c>
      <c r="E144" s="8" t="s">
        <v>947</v>
      </c>
      <c r="F144" s="8" t="s">
        <v>35</v>
      </c>
      <c r="G144" s="8" t="s">
        <v>948</v>
      </c>
      <c r="H144" s="8" t="s">
        <v>944</v>
      </c>
      <c r="I144" s="8" t="s">
        <v>51</v>
      </c>
      <c r="J144" s="8">
        <v>2019</v>
      </c>
      <c r="K144" s="8"/>
      <c r="L144" s="8">
        <v>290</v>
      </c>
      <c r="M144" s="8"/>
      <c r="N144" s="8">
        <v>290</v>
      </c>
      <c r="O144" s="12">
        <v>52000</v>
      </c>
      <c r="P144" s="8"/>
      <c r="Q144" s="8" t="s">
        <v>941</v>
      </c>
      <c r="R144" s="8" t="s">
        <v>732</v>
      </c>
      <c r="S144" s="130"/>
      <c r="T144" s="8"/>
      <c r="U144" s="8" t="s">
        <v>945</v>
      </c>
      <c r="V144" s="8" t="s">
        <v>946</v>
      </c>
    </row>
    <row r="145" spans="2:22" ht="15" customHeight="1" x14ac:dyDescent="0.3">
      <c r="B145" s="22">
        <v>138</v>
      </c>
      <c r="C145" s="8" t="s">
        <v>12</v>
      </c>
      <c r="D145" s="8" t="s">
        <v>941</v>
      </c>
      <c r="E145" s="25" t="s">
        <v>949</v>
      </c>
      <c r="F145" s="25" t="s">
        <v>95</v>
      </c>
      <c r="G145" s="25" t="s">
        <v>950</v>
      </c>
      <c r="H145" s="25" t="s">
        <v>951</v>
      </c>
      <c r="I145" s="25" t="s">
        <v>51</v>
      </c>
      <c r="J145" s="25">
        <v>2005</v>
      </c>
      <c r="K145" s="25"/>
      <c r="L145" s="25">
        <v>775</v>
      </c>
      <c r="M145" s="25"/>
      <c r="N145" s="25">
        <v>775</v>
      </c>
      <c r="O145" s="26">
        <v>220070</v>
      </c>
      <c r="P145" s="26">
        <v>2000</v>
      </c>
      <c r="Q145" s="25" t="s">
        <v>952</v>
      </c>
      <c r="R145" s="25" t="s">
        <v>732</v>
      </c>
      <c r="S145" s="130" t="s">
        <v>953</v>
      </c>
      <c r="T145" s="25"/>
      <c r="U145" s="25" t="s">
        <v>954</v>
      </c>
      <c r="V145" s="25" t="s">
        <v>955</v>
      </c>
    </row>
    <row r="146" spans="2:22" ht="15" customHeight="1" x14ac:dyDescent="0.3">
      <c r="B146" s="22">
        <v>139</v>
      </c>
      <c r="C146" s="8" t="s">
        <v>12</v>
      </c>
      <c r="D146" s="8" t="s">
        <v>941</v>
      </c>
      <c r="E146" s="22" t="s">
        <v>956</v>
      </c>
      <c r="F146" s="22" t="s">
        <v>95</v>
      </c>
      <c r="G146" s="22" t="s">
        <v>957</v>
      </c>
      <c r="H146" s="22" t="s">
        <v>958</v>
      </c>
      <c r="I146" s="22" t="s">
        <v>51</v>
      </c>
      <c r="J146" s="22">
        <v>2014</v>
      </c>
      <c r="K146" s="22"/>
      <c r="L146" s="22">
        <v>32</v>
      </c>
      <c r="M146" s="22"/>
      <c r="N146" s="22">
        <v>32</v>
      </c>
      <c r="O146" s="22" t="s">
        <v>846</v>
      </c>
      <c r="P146" s="22"/>
      <c r="Q146" s="22" t="s">
        <v>958</v>
      </c>
      <c r="R146" s="22" t="s">
        <v>888</v>
      </c>
      <c r="S146" s="131"/>
      <c r="T146" s="22"/>
      <c r="U146" s="22" t="s">
        <v>945</v>
      </c>
      <c r="V146" s="22" t="s">
        <v>946</v>
      </c>
    </row>
    <row r="147" spans="2:22" ht="15" customHeight="1" x14ac:dyDescent="0.3">
      <c r="B147" s="22">
        <v>140</v>
      </c>
      <c r="C147" s="8" t="s">
        <v>12</v>
      </c>
      <c r="D147" s="8" t="s">
        <v>959</v>
      </c>
      <c r="E147" s="8" t="s">
        <v>960</v>
      </c>
      <c r="F147" s="8" t="s">
        <v>55</v>
      </c>
      <c r="G147" s="8" t="s">
        <v>961</v>
      </c>
      <c r="H147" s="8" t="s">
        <v>962</v>
      </c>
      <c r="I147" s="8" t="s">
        <v>422</v>
      </c>
      <c r="J147" s="8">
        <v>1931</v>
      </c>
      <c r="K147" s="27"/>
      <c r="L147" s="12">
        <v>1400</v>
      </c>
      <c r="M147" s="27"/>
      <c r="N147" s="12">
        <v>1400</v>
      </c>
      <c r="O147" s="24" t="s">
        <v>963</v>
      </c>
      <c r="P147" s="27"/>
      <c r="Q147" s="8" t="s">
        <v>964</v>
      </c>
      <c r="R147" s="8" t="s">
        <v>853</v>
      </c>
      <c r="S147" s="84" t="s">
        <v>965</v>
      </c>
      <c r="T147" s="27"/>
      <c r="U147" s="8" t="s">
        <v>966</v>
      </c>
      <c r="V147" s="8" t="s">
        <v>967</v>
      </c>
    </row>
    <row r="148" spans="2:22" ht="15" customHeight="1" x14ac:dyDescent="0.3">
      <c r="B148" s="22">
        <v>141</v>
      </c>
      <c r="C148" s="8" t="s">
        <v>12</v>
      </c>
      <c r="D148" s="8" t="s">
        <v>959</v>
      </c>
      <c r="E148" s="8" t="s">
        <v>968</v>
      </c>
      <c r="F148" s="8" t="s">
        <v>55</v>
      </c>
      <c r="G148" s="8" t="s">
        <v>969</v>
      </c>
      <c r="H148" s="8" t="s">
        <v>970</v>
      </c>
      <c r="I148" s="8" t="s">
        <v>422</v>
      </c>
      <c r="J148" s="8">
        <v>1993</v>
      </c>
      <c r="K148" s="8"/>
      <c r="L148" s="8">
        <v>340</v>
      </c>
      <c r="M148" s="8"/>
      <c r="N148" s="8">
        <v>340</v>
      </c>
      <c r="O148" s="10" t="s">
        <v>963</v>
      </c>
      <c r="P148" s="8"/>
      <c r="Q148" s="8" t="s">
        <v>971</v>
      </c>
      <c r="R148" s="8" t="s">
        <v>853</v>
      </c>
      <c r="S148" s="84" t="s">
        <v>972</v>
      </c>
      <c r="T148" s="8"/>
      <c r="U148" s="8" t="s">
        <v>966</v>
      </c>
      <c r="V148" s="8" t="s">
        <v>967</v>
      </c>
    </row>
    <row r="149" spans="2:22" ht="15" customHeight="1" x14ac:dyDescent="0.3">
      <c r="B149" s="22">
        <v>142</v>
      </c>
      <c r="C149" s="8" t="s">
        <v>12</v>
      </c>
      <c r="D149" s="8" t="s">
        <v>959</v>
      </c>
      <c r="E149" s="5" t="s">
        <v>973</v>
      </c>
      <c r="F149" s="8" t="s">
        <v>95</v>
      </c>
      <c r="G149" s="5" t="s">
        <v>974</v>
      </c>
      <c r="H149" s="8" t="s">
        <v>975</v>
      </c>
      <c r="I149" s="8" t="s">
        <v>869</v>
      </c>
      <c r="J149" s="8">
        <v>2011</v>
      </c>
      <c r="K149" s="8"/>
      <c r="L149" s="8">
        <v>20</v>
      </c>
      <c r="M149" s="8"/>
      <c r="N149" s="8">
        <v>20</v>
      </c>
      <c r="O149" s="10" t="s">
        <v>846</v>
      </c>
      <c r="P149" s="8"/>
      <c r="Q149" s="8" t="s">
        <v>976</v>
      </c>
      <c r="R149" s="8" t="s">
        <v>888</v>
      </c>
      <c r="S149" s="84"/>
      <c r="T149" s="8"/>
      <c r="U149" s="8" t="s">
        <v>977</v>
      </c>
      <c r="V149" s="8" t="s">
        <v>978</v>
      </c>
    </row>
    <row r="150" spans="2:22" ht="15" customHeight="1" x14ac:dyDescent="0.3">
      <c r="B150" s="22">
        <v>143</v>
      </c>
      <c r="C150" s="8" t="s">
        <v>12</v>
      </c>
      <c r="D150" s="8" t="s">
        <v>959</v>
      </c>
      <c r="E150" s="5" t="s">
        <v>979</v>
      </c>
      <c r="F150" s="8" t="s">
        <v>95</v>
      </c>
      <c r="G150" s="5" t="s">
        <v>980</v>
      </c>
      <c r="H150" s="8" t="s">
        <v>975</v>
      </c>
      <c r="I150" s="8" t="s">
        <v>67</v>
      </c>
      <c r="J150" s="8">
        <v>1995</v>
      </c>
      <c r="K150" s="8"/>
      <c r="L150" s="8">
        <v>15</v>
      </c>
      <c r="M150" s="8"/>
      <c r="N150" s="8">
        <v>15</v>
      </c>
      <c r="O150" s="10" t="s">
        <v>846</v>
      </c>
      <c r="P150" s="8"/>
      <c r="Q150" s="8" t="s">
        <v>981</v>
      </c>
      <c r="R150" s="8" t="s">
        <v>888</v>
      </c>
      <c r="S150" s="84"/>
      <c r="T150" s="8"/>
      <c r="U150" s="8" t="s">
        <v>977</v>
      </c>
      <c r="V150" s="8" t="s">
        <v>978</v>
      </c>
    </row>
    <row r="151" spans="2:22" ht="15" customHeight="1" x14ac:dyDescent="0.3">
      <c r="B151" s="22">
        <v>144</v>
      </c>
      <c r="C151" s="8" t="s">
        <v>12</v>
      </c>
      <c r="D151" s="8" t="s">
        <v>959</v>
      </c>
      <c r="E151" s="7" t="s">
        <v>982</v>
      </c>
      <c r="F151" s="8" t="s">
        <v>95</v>
      </c>
      <c r="G151" s="7" t="s">
        <v>983</v>
      </c>
      <c r="H151" s="8" t="s">
        <v>984</v>
      </c>
      <c r="I151" s="8" t="s">
        <v>869</v>
      </c>
      <c r="J151" s="8">
        <v>2010</v>
      </c>
      <c r="K151" s="8"/>
      <c r="L151" s="8">
        <v>10</v>
      </c>
      <c r="M151" s="8"/>
      <c r="N151" s="8">
        <v>10</v>
      </c>
      <c r="O151" s="10" t="s">
        <v>846</v>
      </c>
      <c r="P151" s="8"/>
      <c r="Q151" s="8" t="s">
        <v>985</v>
      </c>
      <c r="R151" s="8" t="s">
        <v>888</v>
      </c>
      <c r="S151" s="84"/>
      <c r="T151" s="8"/>
      <c r="U151" s="8" t="s">
        <v>977</v>
      </c>
      <c r="V151" s="8" t="s">
        <v>986</v>
      </c>
    </row>
    <row r="152" spans="2:22" ht="15" customHeight="1" x14ac:dyDescent="0.3">
      <c r="B152" s="22">
        <v>145</v>
      </c>
      <c r="C152" s="8" t="s">
        <v>12</v>
      </c>
      <c r="D152" s="8" t="s">
        <v>959</v>
      </c>
      <c r="E152" s="7" t="s">
        <v>987</v>
      </c>
      <c r="F152" s="8" t="s">
        <v>55</v>
      </c>
      <c r="G152" s="7" t="s">
        <v>988</v>
      </c>
      <c r="H152" s="8" t="s">
        <v>989</v>
      </c>
      <c r="I152" s="8" t="s">
        <v>67</v>
      </c>
      <c r="J152" s="8">
        <v>2014</v>
      </c>
      <c r="K152" s="8"/>
      <c r="L152" s="8">
        <v>32</v>
      </c>
      <c r="M152" s="8"/>
      <c r="N152" s="8">
        <v>32</v>
      </c>
      <c r="O152" s="10">
        <v>99</v>
      </c>
      <c r="P152" s="8"/>
      <c r="Q152" s="8" t="s">
        <v>990</v>
      </c>
      <c r="R152" s="8" t="s">
        <v>853</v>
      </c>
      <c r="S152" s="84"/>
      <c r="T152" s="8"/>
      <c r="U152" s="8" t="s">
        <v>977</v>
      </c>
      <c r="V152" s="8" t="s">
        <v>986</v>
      </c>
    </row>
    <row r="153" spans="2:22" ht="15" customHeight="1" x14ac:dyDescent="0.3">
      <c r="B153" s="22">
        <v>146</v>
      </c>
      <c r="C153" s="8" t="s">
        <v>12</v>
      </c>
      <c r="D153" s="8" t="s">
        <v>959</v>
      </c>
      <c r="E153" s="49" t="s">
        <v>991</v>
      </c>
      <c r="F153" s="8" t="s">
        <v>992</v>
      </c>
      <c r="G153" s="7" t="s">
        <v>993</v>
      </c>
      <c r="H153" s="8" t="s">
        <v>994</v>
      </c>
      <c r="I153" s="8" t="s">
        <v>51</v>
      </c>
      <c r="J153" s="8">
        <v>2019</v>
      </c>
      <c r="K153" s="8"/>
      <c r="L153" s="8">
        <v>72</v>
      </c>
      <c r="M153" s="8"/>
      <c r="N153" s="8">
        <v>72</v>
      </c>
      <c r="O153" s="10" t="s">
        <v>846</v>
      </c>
      <c r="P153" s="8"/>
      <c r="Q153" s="8" t="s">
        <v>959</v>
      </c>
      <c r="R153" s="8" t="s">
        <v>732</v>
      </c>
      <c r="S153" s="84"/>
      <c r="T153" s="8"/>
      <c r="U153" s="8" t="s">
        <v>966</v>
      </c>
      <c r="V153" s="8" t="s">
        <v>967</v>
      </c>
    </row>
    <row r="154" spans="2:22" ht="15" customHeight="1" x14ac:dyDescent="0.3">
      <c r="B154" s="22">
        <v>147</v>
      </c>
      <c r="C154" s="8" t="s">
        <v>12</v>
      </c>
      <c r="D154" s="8" t="s">
        <v>995</v>
      </c>
      <c r="E154" s="8" t="s">
        <v>996</v>
      </c>
      <c r="F154" s="8" t="s">
        <v>997</v>
      </c>
      <c r="G154" s="8" t="s">
        <v>998</v>
      </c>
      <c r="H154" s="8" t="s">
        <v>999</v>
      </c>
      <c r="I154" s="8" t="s">
        <v>67</v>
      </c>
      <c r="J154" s="8">
        <v>2008</v>
      </c>
      <c r="K154" s="8"/>
      <c r="L154" s="8">
        <v>179</v>
      </c>
      <c r="M154" s="8"/>
      <c r="N154" s="8">
        <v>179</v>
      </c>
      <c r="O154" s="11">
        <v>10000</v>
      </c>
      <c r="P154" s="8"/>
      <c r="Q154" s="8" t="s">
        <v>995</v>
      </c>
      <c r="R154" s="8" t="s">
        <v>732</v>
      </c>
      <c r="S154" s="84" t="s">
        <v>68</v>
      </c>
      <c r="T154" s="8"/>
      <c r="U154" s="8" t="s">
        <v>1000</v>
      </c>
      <c r="V154" s="8" t="s">
        <v>1001</v>
      </c>
    </row>
    <row r="155" spans="2:22" ht="15" customHeight="1" x14ac:dyDescent="0.3">
      <c r="B155" s="22">
        <v>148</v>
      </c>
      <c r="C155" s="8" t="s">
        <v>12</v>
      </c>
      <c r="D155" s="8" t="s">
        <v>995</v>
      </c>
      <c r="E155" s="8" t="s">
        <v>1002</v>
      </c>
      <c r="F155" s="8" t="s">
        <v>390</v>
      </c>
      <c r="G155" s="8" t="s">
        <v>1003</v>
      </c>
      <c r="H155" s="8" t="s">
        <v>1004</v>
      </c>
      <c r="I155" s="8" t="s">
        <v>67</v>
      </c>
      <c r="J155" s="8">
        <v>2007</v>
      </c>
      <c r="K155" s="8"/>
      <c r="L155" s="8">
        <v>30</v>
      </c>
      <c r="M155" s="8">
        <v>20</v>
      </c>
      <c r="N155" s="8">
        <v>50</v>
      </c>
      <c r="O155" s="10" t="s">
        <v>846</v>
      </c>
      <c r="P155" s="8"/>
      <c r="Q155" s="8" t="s">
        <v>1005</v>
      </c>
      <c r="R155" s="8" t="s">
        <v>888</v>
      </c>
      <c r="S155" s="84" t="s">
        <v>68</v>
      </c>
      <c r="T155" s="8"/>
      <c r="U155" s="8" t="s">
        <v>1006</v>
      </c>
      <c r="V155" s="8" t="s">
        <v>1007</v>
      </c>
    </row>
    <row r="156" spans="2:22" ht="15" customHeight="1" x14ac:dyDescent="0.3">
      <c r="B156" s="22">
        <v>149</v>
      </c>
      <c r="C156" s="8" t="s">
        <v>12</v>
      </c>
      <c r="D156" s="8" t="s">
        <v>995</v>
      </c>
      <c r="E156" s="8" t="s">
        <v>1008</v>
      </c>
      <c r="F156" s="8" t="s">
        <v>390</v>
      </c>
      <c r="G156" s="8" t="s">
        <v>1009</v>
      </c>
      <c r="H156" s="8" t="s">
        <v>1010</v>
      </c>
      <c r="I156" s="8" t="s">
        <v>67</v>
      </c>
      <c r="J156" s="8">
        <v>2011</v>
      </c>
      <c r="K156" s="8"/>
      <c r="L156" s="8">
        <v>32</v>
      </c>
      <c r="M156" s="8">
        <v>40</v>
      </c>
      <c r="N156" s="8">
        <v>72</v>
      </c>
      <c r="O156" s="11">
        <v>9900</v>
      </c>
      <c r="P156" s="8"/>
      <c r="Q156" s="8" t="s">
        <v>1011</v>
      </c>
      <c r="R156" s="8" t="s">
        <v>888</v>
      </c>
      <c r="S156" s="84" t="s">
        <v>68</v>
      </c>
      <c r="T156" s="8"/>
      <c r="U156" s="8" t="s">
        <v>1012</v>
      </c>
      <c r="V156" s="8" t="s">
        <v>1013</v>
      </c>
    </row>
    <row r="157" spans="2:22" ht="15" customHeight="1" x14ac:dyDescent="0.3">
      <c r="B157" s="22">
        <v>150</v>
      </c>
      <c r="C157" s="8" t="s">
        <v>12</v>
      </c>
      <c r="D157" s="8" t="s">
        <v>995</v>
      </c>
      <c r="E157" s="8" t="s">
        <v>1014</v>
      </c>
      <c r="F157" s="8" t="s">
        <v>1015</v>
      </c>
      <c r="G157" s="8" t="s">
        <v>1016</v>
      </c>
      <c r="H157" s="8" t="s">
        <v>1017</v>
      </c>
      <c r="I157" s="8" t="s">
        <v>67</v>
      </c>
      <c r="J157" s="8">
        <v>1999</v>
      </c>
      <c r="K157" s="8"/>
      <c r="L157" s="28">
        <v>2540</v>
      </c>
      <c r="M157" s="8"/>
      <c r="N157" s="8">
        <v>2540</v>
      </c>
      <c r="O157" s="11">
        <v>20000</v>
      </c>
      <c r="P157" s="8"/>
      <c r="Q157" s="8" t="s">
        <v>1018</v>
      </c>
      <c r="R157" s="8" t="s">
        <v>173</v>
      </c>
      <c r="S157" s="84" t="s">
        <v>1019</v>
      </c>
      <c r="T157" s="8"/>
      <c r="U157" s="8" t="s">
        <v>1020</v>
      </c>
      <c r="V157" s="8" t="s">
        <v>1021</v>
      </c>
    </row>
    <row r="158" spans="2:22" ht="15" customHeight="1" x14ac:dyDescent="0.3">
      <c r="B158" s="22">
        <v>151</v>
      </c>
      <c r="C158" s="8" t="s">
        <v>12</v>
      </c>
      <c r="D158" s="8" t="s">
        <v>1022</v>
      </c>
      <c r="E158" s="8" t="s">
        <v>1023</v>
      </c>
      <c r="F158" s="8" t="s">
        <v>461</v>
      </c>
      <c r="G158" s="8" t="s">
        <v>1024</v>
      </c>
      <c r="H158" s="8" t="s">
        <v>1025</v>
      </c>
      <c r="I158" s="8" t="s">
        <v>292</v>
      </c>
      <c r="J158" s="8">
        <v>2011</v>
      </c>
      <c r="K158" s="8"/>
      <c r="L158" s="8">
        <v>620</v>
      </c>
      <c r="M158" s="8">
        <v>40</v>
      </c>
      <c r="N158" s="8">
        <f>SUM(L158:M158)</f>
        <v>660</v>
      </c>
      <c r="O158" s="8" t="s">
        <v>846</v>
      </c>
      <c r="P158" s="8"/>
      <c r="Q158" s="8" t="s">
        <v>1026</v>
      </c>
      <c r="R158" s="8" t="s">
        <v>542</v>
      </c>
      <c r="S158" s="84" t="s">
        <v>1027</v>
      </c>
      <c r="T158" s="8"/>
      <c r="U158" s="8" t="s">
        <v>1028</v>
      </c>
      <c r="V158" s="8" t="s">
        <v>1029</v>
      </c>
    </row>
    <row r="159" spans="2:22" ht="15" customHeight="1" x14ac:dyDescent="0.3">
      <c r="B159" s="22">
        <v>152</v>
      </c>
      <c r="C159" s="8" t="s">
        <v>12</v>
      </c>
      <c r="D159" s="8" t="s">
        <v>1022</v>
      </c>
      <c r="E159" s="8" t="s">
        <v>1030</v>
      </c>
      <c r="F159" s="8" t="s">
        <v>522</v>
      </c>
      <c r="G159" s="8" t="s">
        <v>373</v>
      </c>
      <c r="H159" s="8" t="s">
        <v>1031</v>
      </c>
      <c r="I159" s="8" t="s">
        <v>235</v>
      </c>
      <c r="J159" s="8">
        <v>2018</v>
      </c>
      <c r="K159" s="8"/>
      <c r="L159" s="8">
        <v>32</v>
      </c>
      <c r="M159" s="8"/>
      <c r="N159" s="8">
        <v>32</v>
      </c>
      <c r="O159" s="12">
        <v>5000</v>
      </c>
      <c r="P159" s="8"/>
      <c r="Q159" s="8" t="s">
        <v>1032</v>
      </c>
      <c r="R159" s="8" t="s">
        <v>1033</v>
      </c>
      <c r="S159" s="84"/>
      <c r="T159" s="8"/>
      <c r="U159" s="8" t="s">
        <v>1034</v>
      </c>
      <c r="V159" s="8" t="s">
        <v>1035</v>
      </c>
    </row>
    <row r="160" spans="2:22" ht="15" customHeight="1" x14ac:dyDescent="0.3">
      <c r="B160" s="22">
        <v>153</v>
      </c>
      <c r="C160" s="8" t="s">
        <v>12</v>
      </c>
      <c r="D160" s="8" t="s">
        <v>1022</v>
      </c>
      <c r="E160" s="29" t="s">
        <v>1036</v>
      </c>
      <c r="F160" s="29" t="s">
        <v>1037</v>
      </c>
      <c r="G160" s="8" t="s">
        <v>1038</v>
      </c>
      <c r="H160" s="8" t="s">
        <v>1039</v>
      </c>
      <c r="I160" s="8" t="s">
        <v>67</v>
      </c>
      <c r="J160" s="8">
        <v>1996</v>
      </c>
      <c r="K160" s="8"/>
      <c r="L160" s="8">
        <v>50</v>
      </c>
      <c r="M160" s="8">
        <v>40</v>
      </c>
      <c r="N160" s="8">
        <v>100</v>
      </c>
      <c r="O160" s="12" t="s">
        <v>846</v>
      </c>
      <c r="P160" s="8"/>
      <c r="Q160" s="8" t="s">
        <v>1040</v>
      </c>
      <c r="R160" s="8" t="s">
        <v>689</v>
      </c>
      <c r="S160" s="84" t="s">
        <v>1041</v>
      </c>
      <c r="T160" s="8"/>
      <c r="U160" s="8" t="s">
        <v>1042</v>
      </c>
      <c r="V160" s="8" t="s">
        <v>1043</v>
      </c>
    </row>
    <row r="161" spans="2:22" ht="15" customHeight="1" x14ac:dyDescent="0.3">
      <c r="B161" s="22">
        <v>154</v>
      </c>
      <c r="C161" s="8" t="s">
        <v>12</v>
      </c>
      <c r="D161" s="8" t="s">
        <v>1022</v>
      </c>
      <c r="E161" s="8" t="s">
        <v>1044</v>
      </c>
      <c r="F161" s="8" t="s">
        <v>390</v>
      </c>
      <c r="G161" s="8" t="s">
        <v>1045</v>
      </c>
      <c r="H161" s="8" t="s">
        <v>1046</v>
      </c>
      <c r="I161" s="8" t="s">
        <v>51</v>
      </c>
      <c r="J161" s="8">
        <v>2014</v>
      </c>
      <c r="K161" s="8"/>
      <c r="L161" s="8">
        <v>70</v>
      </c>
      <c r="M161" s="8">
        <v>30</v>
      </c>
      <c r="N161" s="8">
        <v>100</v>
      </c>
      <c r="O161" s="8" t="s">
        <v>846</v>
      </c>
      <c r="P161" s="8"/>
      <c r="Q161" s="8" t="s">
        <v>1047</v>
      </c>
      <c r="R161" s="8" t="s">
        <v>853</v>
      </c>
      <c r="S161" s="84" t="s">
        <v>1048</v>
      </c>
      <c r="T161" s="8"/>
      <c r="U161" s="8" t="s">
        <v>1049</v>
      </c>
      <c r="V161" s="8" t="s">
        <v>1050</v>
      </c>
    </row>
    <row r="162" spans="2:22" ht="15" customHeight="1" x14ac:dyDescent="0.3">
      <c r="B162" s="22">
        <v>155</v>
      </c>
      <c r="C162" s="8" t="s">
        <v>12</v>
      </c>
      <c r="D162" s="8" t="s">
        <v>1051</v>
      </c>
      <c r="E162" s="7" t="s">
        <v>1052</v>
      </c>
      <c r="F162" s="7" t="s">
        <v>390</v>
      </c>
      <c r="G162" s="8" t="s">
        <v>1053</v>
      </c>
      <c r="H162" s="8" t="s">
        <v>1054</v>
      </c>
      <c r="I162" s="8" t="s">
        <v>67</v>
      </c>
      <c r="J162" s="8">
        <v>2005</v>
      </c>
      <c r="K162" s="8"/>
      <c r="L162" s="8">
        <v>62</v>
      </c>
      <c r="M162" s="8"/>
      <c r="N162" s="8">
        <v>62</v>
      </c>
      <c r="O162" s="10">
        <v>837</v>
      </c>
      <c r="P162" s="8"/>
      <c r="Q162" s="8" t="s">
        <v>1055</v>
      </c>
      <c r="R162" s="8" t="s">
        <v>853</v>
      </c>
      <c r="S162" s="84"/>
      <c r="T162" s="8"/>
      <c r="U162" s="8" t="s">
        <v>1056</v>
      </c>
      <c r="V162" s="8" t="s">
        <v>1057</v>
      </c>
    </row>
    <row r="163" spans="2:22" ht="15" customHeight="1" x14ac:dyDescent="0.3">
      <c r="B163" s="22">
        <v>156</v>
      </c>
      <c r="C163" s="8" t="s">
        <v>12</v>
      </c>
      <c r="D163" s="8" t="s">
        <v>1051</v>
      </c>
      <c r="E163" s="7" t="s">
        <v>1058</v>
      </c>
      <c r="F163" s="7" t="s">
        <v>429</v>
      </c>
      <c r="G163" s="8" t="s">
        <v>1059</v>
      </c>
      <c r="H163" s="8" t="s">
        <v>1060</v>
      </c>
      <c r="I163" s="8" t="s">
        <v>51</v>
      </c>
      <c r="J163" s="8">
        <v>2009</v>
      </c>
      <c r="K163" s="8"/>
      <c r="L163" s="8">
        <v>10</v>
      </c>
      <c r="M163" s="8"/>
      <c r="N163" s="8">
        <v>10</v>
      </c>
      <c r="O163" s="11">
        <v>32900</v>
      </c>
      <c r="P163" s="8"/>
      <c r="Q163" s="8" t="s">
        <v>1061</v>
      </c>
      <c r="R163" s="8" t="s">
        <v>853</v>
      </c>
      <c r="S163" s="84"/>
      <c r="T163" s="8"/>
      <c r="U163" s="8" t="s">
        <v>1056</v>
      </c>
      <c r="V163" s="8" t="s">
        <v>1062</v>
      </c>
    </row>
    <row r="164" spans="2:22" ht="15" customHeight="1" x14ac:dyDescent="0.3">
      <c r="B164" s="22">
        <v>157</v>
      </c>
      <c r="C164" s="8" t="s">
        <v>12</v>
      </c>
      <c r="D164" s="8" t="s">
        <v>1051</v>
      </c>
      <c r="E164" s="7" t="s">
        <v>1063</v>
      </c>
      <c r="F164" s="7" t="s">
        <v>390</v>
      </c>
      <c r="G164" s="8" t="s">
        <v>1064</v>
      </c>
      <c r="H164" s="8" t="s">
        <v>1065</v>
      </c>
      <c r="I164" s="8" t="s">
        <v>67</v>
      </c>
      <c r="J164" s="8">
        <v>2009</v>
      </c>
      <c r="K164" s="8"/>
      <c r="L164" s="8">
        <v>50</v>
      </c>
      <c r="M164" s="8"/>
      <c r="N164" s="8">
        <v>50</v>
      </c>
      <c r="O164" s="10" t="s">
        <v>846</v>
      </c>
      <c r="P164" s="8"/>
      <c r="Q164" s="8" t="s">
        <v>1066</v>
      </c>
      <c r="R164" s="8" t="s">
        <v>853</v>
      </c>
      <c r="S164" s="84"/>
      <c r="T164" s="8"/>
      <c r="U164" s="8" t="s">
        <v>1056</v>
      </c>
      <c r="V164" s="8" t="s">
        <v>1057</v>
      </c>
    </row>
    <row r="165" spans="2:22" ht="15" customHeight="1" x14ac:dyDescent="0.3">
      <c r="B165" s="22">
        <v>158</v>
      </c>
      <c r="C165" s="8" t="s">
        <v>12</v>
      </c>
      <c r="D165" s="8" t="s">
        <v>1051</v>
      </c>
      <c r="E165" s="7" t="s">
        <v>1067</v>
      </c>
      <c r="F165" s="7" t="s">
        <v>390</v>
      </c>
      <c r="G165" s="8" t="s">
        <v>1068</v>
      </c>
      <c r="H165" s="8" t="s">
        <v>1069</v>
      </c>
      <c r="I165" s="8" t="s">
        <v>67</v>
      </c>
      <c r="J165" s="8">
        <v>2016</v>
      </c>
      <c r="K165" s="8">
        <v>30</v>
      </c>
      <c r="L165" s="8">
        <v>820</v>
      </c>
      <c r="M165" s="8"/>
      <c r="N165" s="8">
        <v>850</v>
      </c>
      <c r="O165" s="11">
        <v>9502</v>
      </c>
      <c r="P165" s="8"/>
      <c r="Q165" s="8" t="s">
        <v>1070</v>
      </c>
      <c r="R165" s="8" t="s">
        <v>853</v>
      </c>
      <c r="S165" s="84" t="s">
        <v>1071</v>
      </c>
      <c r="T165" s="8" t="s">
        <v>43</v>
      </c>
      <c r="U165" s="8" t="s">
        <v>1072</v>
      </c>
      <c r="V165" s="8" t="s">
        <v>1073</v>
      </c>
    </row>
    <row r="166" spans="2:22" ht="15" customHeight="1" x14ac:dyDescent="0.3">
      <c r="B166" s="22">
        <v>159</v>
      </c>
      <c r="C166" s="8" t="s">
        <v>12</v>
      </c>
      <c r="D166" s="8" t="s">
        <v>1051</v>
      </c>
      <c r="E166" s="22" t="s">
        <v>1074</v>
      </c>
      <c r="F166" s="7" t="s">
        <v>390</v>
      </c>
      <c r="G166" s="8" t="s">
        <v>1075</v>
      </c>
      <c r="H166" s="8" t="s">
        <v>1069</v>
      </c>
      <c r="I166" s="8" t="s">
        <v>67</v>
      </c>
      <c r="J166" s="8">
        <v>2019</v>
      </c>
      <c r="K166" s="8"/>
      <c r="L166" s="8">
        <v>50</v>
      </c>
      <c r="M166" s="8"/>
      <c r="N166" s="8">
        <v>50</v>
      </c>
      <c r="O166" s="10">
        <v>334</v>
      </c>
      <c r="P166" s="8"/>
      <c r="Q166" s="8" t="s">
        <v>1076</v>
      </c>
      <c r="R166" s="8" t="s">
        <v>1077</v>
      </c>
      <c r="S166" s="84"/>
      <c r="T166" s="8"/>
      <c r="U166" s="8" t="s">
        <v>1072</v>
      </c>
      <c r="V166" s="8" t="s">
        <v>1073</v>
      </c>
    </row>
    <row r="167" spans="2:22" ht="15" customHeight="1" x14ac:dyDescent="0.3">
      <c r="B167" s="22">
        <v>160</v>
      </c>
      <c r="C167" s="8" t="s">
        <v>12</v>
      </c>
      <c r="D167" s="8" t="s">
        <v>1078</v>
      </c>
      <c r="E167" s="7" t="s">
        <v>1079</v>
      </c>
      <c r="F167" s="8" t="s">
        <v>429</v>
      </c>
      <c r="G167" s="8" t="s">
        <v>1080</v>
      </c>
      <c r="H167" s="8" t="s">
        <v>1081</v>
      </c>
      <c r="I167" s="8" t="s">
        <v>235</v>
      </c>
      <c r="J167" s="24">
        <v>1997</v>
      </c>
      <c r="K167" s="10"/>
      <c r="L167" s="11">
        <v>2200</v>
      </c>
      <c r="M167" s="10"/>
      <c r="N167" s="11">
        <v>2200</v>
      </c>
      <c r="O167" s="24" t="s">
        <v>869</v>
      </c>
      <c r="P167" s="24"/>
      <c r="Q167" s="24" t="s">
        <v>1082</v>
      </c>
      <c r="R167" s="8" t="s">
        <v>238</v>
      </c>
      <c r="S167" s="84" t="s">
        <v>1083</v>
      </c>
      <c r="T167" s="8"/>
      <c r="U167" s="8" t="s">
        <v>1084</v>
      </c>
      <c r="V167" s="8" t="s">
        <v>1085</v>
      </c>
    </row>
    <row r="168" spans="2:22" ht="15" customHeight="1" x14ac:dyDescent="0.3">
      <c r="B168" s="22">
        <v>161</v>
      </c>
      <c r="C168" s="8" t="s">
        <v>12</v>
      </c>
      <c r="D168" s="8" t="s">
        <v>1078</v>
      </c>
      <c r="E168" s="7" t="s">
        <v>1086</v>
      </c>
      <c r="F168" s="8" t="s">
        <v>243</v>
      </c>
      <c r="G168" s="8" t="s">
        <v>1087</v>
      </c>
      <c r="H168" s="8" t="s">
        <v>1088</v>
      </c>
      <c r="I168" s="8" t="s">
        <v>235</v>
      </c>
      <c r="J168" s="24">
        <v>2013</v>
      </c>
      <c r="K168" s="10"/>
      <c r="L168" s="10">
        <v>850</v>
      </c>
      <c r="M168" s="10">
        <v>150</v>
      </c>
      <c r="N168" s="11">
        <v>1000</v>
      </c>
      <c r="O168" s="12">
        <v>2381</v>
      </c>
      <c r="P168" s="24"/>
      <c r="Q168" s="24" t="s">
        <v>1089</v>
      </c>
      <c r="R168" s="8" t="s">
        <v>247</v>
      </c>
      <c r="S168" s="84" t="s">
        <v>1083</v>
      </c>
      <c r="T168" s="8"/>
      <c r="U168" s="8" t="s">
        <v>1090</v>
      </c>
      <c r="V168" s="8" t="s">
        <v>1091</v>
      </c>
    </row>
    <row r="169" spans="2:22" ht="15" customHeight="1" x14ac:dyDescent="0.3">
      <c r="B169" s="22">
        <v>162</v>
      </c>
      <c r="C169" s="8" t="s">
        <v>12</v>
      </c>
      <c r="D169" s="8" t="s">
        <v>1078</v>
      </c>
      <c r="E169" s="7" t="s">
        <v>1092</v>
      </c>
      <c r="F169" s="8" t="s">
        <v>259</v>
      </c>
      <c r="G169" s="8" t="s">
        <v>1093</v>
      </c>
      <c r="H169" s="8" t="s">
        <v>1094</v>
      </c>
      <c r="I169" s="8" t="s">
        <v>235</v>
      </c>
      <c r="J169" s="24">
        <v>2007</v>
      </c>
      <c r="K169" s="10"/>
      <c r="L169" s="10">
        <v>32</v>
      </c>
      <c r="M169" s="10"/>
      <c r="N169" s="10">
        <v>32</v>
      </c>
      <c r="O169" s="24">
        <v>150</v>
      </c>
      <c r="P169" s="24"/>
      <c r="Q169" s="24" t="s">
        <v>1095</v>
      </c>
      <c r="R169" s="8" t="s">
        <v>1077</v>
      </c>
      <c r="S169" s="84" t="s">
        <v>296</v>
      </c>
      <c r="T169" s="8"/>
      <c r="U169" s="8" t="s">
        <v>1084</v>
      </c>
      <c r="V169" s="8" t="s">
        <v>1085</v>
      </c>
    </row>
    <row r="170" spans="2:22" ht="15" customHeight="1" x14ac:dyDescent="0.3">
      <c r="B170" s="22">
        <v>163</v>
      </c>
      <c r="C170" s="8" t="s">
        <v>12</v>
      </c>
      <c r="D170" s="8" t="s">
        <v>1078</v>
      </c>
      <c r="E170" s="7" t="s">
        <v>1096</v>
      </c>
      <c r="F170" s="8" t="s">
        <v>429</v>
      </c>
      <c r="G170" s="8" t="s">
        <v>1097</v>
      </c>
      <c r="H170" s="8" t="s">
        <v>1098</v>
      </c>
      <c r="I170" s="8" t="s">
        <v>235</v>
      </c>
      <c r="J170" s="24">
        <v>2012</v>
      </c>
      <c r="K170" s="10"/>
      <c r="L170" s="10">
        <v>17</v>
      </c>
      <c r="M170" s="10"/>
      <c r="N170" s="10">
        <v>17</v>
      </c>
      <c r="O170" s="24">
        <v>300</v>
      </c>
      <c r="P170" s="24"/>
      <c r="Q170" s="24" t="s">
        <v>1099</v>
      </c>
      <c r="R170" s="8" t="s">
        <v>1100</v>
      </c>
      <c r="S170" s="84" t="s">
        <v>296</v>
      </c>
      <c r="T170" s="8" t="s">
        <v>296</v>
      </c>
      <c r="U170" s="8" t="s">
        <v>1084</v>
      </c>
      <c r="V170" s="8" t="s">
        <v>1085</v>
      </c>
    </row>
    <row r="171" spans="2:22" ht="15" customHeight="1" x14ac:dyDescent="0.3">
      <c r="B171" s="22">
        <v>164</v>
      </c>
      <c r="C171" s="8" t="s">
        <v>12</v>
      </c>
      <c r="D171" s="8" t="s">
        <v>1101</v>
      </c>
      <c r="E171" s="7" t="s">
        <v>1102</v>
      </c>
      <c r="F171" s="8" t="s">
        <v>461</v>
      </c>
      <c r="G171" s="8" t="s">
        <v>1103</v>
      </c>
      <c r="H171" s="8" t="s">
        <v>1104</v>
      </c>
      <c r="I171" s="8" t="s">
        <v>292</v>
      </c>
      <c r="J171" s="24">
        <v>2007</v>
      </c>
      <c r="K171" s="10"/>
      <c r="L171" s="11">
        <v>1020</v>
      </c>
      <c r="M171" s="10"/>
      <c r="N171" s="11">
        <v>1020</v>
      </c>
      <c r="O171" s="12">
        <v>212009</v>
      </c>
      <c r="P171" s="24"/>
      <c r="Q171" s="24" t="s">
        <v>1105</v>
      </c>
      <c r="R171" s="8" t="s">
        <v>238</v>
      </c>
      <c r="S171" s="84" t="s">
        <v>1106</v>
      </c>
      <c r="T171" s="8"/>
      <c r="U171" s="8" t="s">
        <v>1107</v>
      </c>
      <c r="V171" s="8" t="s">
        <v>1108</v>
      </c>
    </row>
    <row r="172" spans="2:22" ht="15" customHeight="1" x14ac:dyDescent="0.3">
      <c r="B172" s="22">
        <v>165</v>
      </c>
      <c r="C172" s="8" t="s">
        <v>12</v>
      </c>
      <c r="D172" s="8" t="s">
        <v>1101</v>
      </c>
      <c r="E172" s="13" t="s">
        <v>1109</v>
      </c>
      <c r="F172" s="8" t="s">
        <v>429</v>
      </c>
      <c r="G172" s="8" t="s">
        <v>1110</v>
      </c>
      <c r="H172" s="8" t="s">
        <v>1111</v>
      </c>
      <c r="I172" s="8" t="s">
        <v>1112</v>
      </c>
      <c r="J172" s="24">
        <v>2017</v>
      </c>
      <c r="K172" s="10"/>
      <c r="L172" s="10">
        <v>32</v>
      </c>
      <c r="M172" s="10"/>
      <c r="N172" s="10">
        <v>32</v>
      </c>
      <c r="O172" s="24" t="s">
        <v>846</v>
      </c>
      <c r="P172" s="24"/>
      <c r="Q172" s="24" t="s">
        <v>1113</v>
      </c>
      <c r="R172" s="8" t="s">
        <v>853</v>
      </c>
      <c r="S172" s="84" t="s">
        <v>1106</v>
      </c>
      <c r="T172" s="30"/>
      <c r="U172" s="8" t="s">
        <v>1114</v>
      </c>
      <c r="V172" s="8" t="s">
        <v>1115</v>
      </c>
    </row>
    <row r="173" spans="2:22" ht="15" customHeight="1" x14ac:dyDescent="0.3">
      <c r="B173" s="22">
        <v>166</v>
      </c>
      <c r="C173" s="8" t="s">
        <v>12</v>
      </c>
      <c r="D173" s="8" t="s">
        <v>1116</v>
      </c>
      <c r="E173" s="8" t="s">
        <v>1117</v>
      </c>
      <c r="F173" s="8" t="s">
        <v>55</v>
      </c>
      <c r="G173" s="8" t="s">
        <v>1118</v>
      </c>
      <c r="H173" s="8" t="s">
        <v>1119</v>
      </c>
      <c r="I173" s="8" t="s">
        <v>67</v>
      </c>
      <c r="J173" s="8">
        <v>2022</v>
      </c>
      <c r="K173" s="8"/>
      <c r="L173" s="8">
        <v>35</v>
      </c>
      <c r="M173" s="8"/>
      <c r="N173" s="8">
        <v>35</v>
      </c>
      <c r="O173" s="31" t="s">
        <v>846</v>
      </c>
      <c r="P173" s="8"/>
      <c r="Q173" s="8" t="s">
        <v>1120</v>
      </c>
      <c r="R173" s="8" t="s">
        <v>888</v>
      </c>
      <c r="S173" s="84" t="s">
        <v>1121</v>
      </c>
      <c r="T173" s="8"/>
      <c r="U173" s="8" t="s">
        <v>1122</v>
      </c>
      <c r="V173" s="8" t="s">
        <v>1123</v>
      </c>
    </row>
    <row r="174" spans="2:22" ht="15" customHeight="1" x14ac:dyDescent="0.3">
      <c r="B174" s="22">
        <v>167</v>
      </c>
      <c r="C174" s="8" t="s">
        <v>12</v>
      </c>
      <c r="D174" s="8" t="s">
        <v>1116</v>
      </c>
      <c r="E174" s="8" t="s">
        <v>1124</v>
      </c>
      <c r="F174" s="8" t="s">
        <v>55</v>
      </c>
      <c r="G174" s="8" t="s">
        <v>220</v>
      </c>
      <c r="H174" s="8" t="s">
        <v>1125</v>
      </c>
      <c r="I174" s="8" t="s">
        <v>67</v>
      </c>
      <c r="J174" s="8">
        <v>1986</v>
      </c>
      <c r="K174" s="8"/>
      <c r="L174" s="8">
        <v>270</v>
      </c>
      <c r="M174" s="8"/>
      <c r="N174" s="8">
        <v>270</v>
      </c>
      <c r="O174" s="32" t="s">
        <v>846</v>
      </c>
      <c r="P174" s="8"/>
      <c r="Q174" s="8" t="s">
        <v>1126</v>
      </c>
      <c r="R174" s="8" t="s">
        <v>888</v>
      </c>
      <c r="S174" s="84" t="s">
        <v>1121</v>
      </c>
      <c r="T174" s="8"/>
      <c r="U174" s="8" t="s">
        <v>1122</v>
      </c>
      <c r="V174" s="8" t="s">
        <v>1123</v>
      </c>
    </row>
    <row r="175" spans="2:22" ht="15" customHeight="1" x14ac:dyDescent="0.3">
      <c r="B175" s="22">
        <v>168</v>
      </c>
      <c r="C175" s="8" t="s">
        <v>12</v>
      </c>
      <c r="D175" s="8" t="s">
        <v>1116</v>
      </c>
      <c r="E175" s="8" t="s">
        <v>1127</v>
      </c>
      <c r="F175" s="8" t="s">
        <v>50</v>
      </c>
      <c r="G175" s="8" t="s">
        <v>539</v>
      </c>
      <c r="H175" s="8" t="s">
        <v>1128</v>
      </c>
      <c r="I175" s="8" t="s">
        <v>51</v>
      </c>
      <c r="J175" s="8">
        <v>1996</v>
      </c>
      <c r="K175" s="8"/>
      <c r="L175" s="8">
        <v>90</v>
      </c>
      <c r="M175" s="8"/>
      <c r="N175" s="8">
        <v>90</v>
      </c>
      <c r="O175" s="32" t="s">
        <v>869</v>
      </c>
      <c r="P175" s="8"/>
      <c r="Q175" s="8" t="s">
        <v>1129</v>
      </c>
      <c r="R175" s="8" t="s">
        <v>888</v>
      </c>
      <c r="S175" s="84" t="s">
        <v>1121</v>
      </c>
      <c r="T175" s="8"/>
      <c r="U175" s="8" t="s">
        <v>1122</v>
      </c>
      <c r="V175" s="8" t="s">
        <v>1123</v>
      </c>
    </row>
    <row r="176" spans="2:22" ht="15" customHeight="1" x14ac:dyDescent="0.3">
      <c r="B176" s="22">
        <v>169</v>
      </c>
      <c r="C176" s="8" t="s">
        <v>12</v>
      </c>
      <c r="D176" s="8" t="s">
        <v>1116</v>
      </c>
      <c r="E176" s="8" t="s">
        <v>1130</v>
      </c>
      <c r="F176" s="8" t="s">
        <v>55</v>
      </c>
      <c r="G176" s="8" t="s">
        <v>560</v>
      </c>
      <c r="H176" s="8" t="s">
        <v>1131</v>
      </c>
      <c r="I176" s="8" t="s">
        <v>51</v>
      </c>
      <c r="J176" s="8">
        <v>1987</v>
      </c>
      <c r="K176" s="8"/>
      <c r="L176" s="8">
        <v>50</v>
      </c>
      <c r="M176" s="8"/>
      <c r="N176" s="8">
        <v>50</v>
      </c>
      <c r="O176" s="31" t="s">
        <v>869</v>
      </c>
      <c r="P176" s="8"/>
      <c r="Q176" s="8" t="s">
        <v>1132</v>
      </c>
      <c r="R176" s="8" t="s">
        <v>173</v>
      </c>
      <c r="S176" s="84" t="s">
        <v>1133</v>
      </c>
      <c r="T176" s="8"/>
      <c r="U176" s="8" t="s">
        <v>1122</v>
      </c>
      <c r="V176" s="8" t="s">
        <v>1123</v>
      </c>
    </row>
    <row r="177" spans="2:22" ht="15" customHeight="1" x14ac:dyDescent="0.3">
      <c r="B177" s="22">
        <v>170</v>
      </c>
      <c r="C177" s="8" t="s">
        <v>12</v>
      </c>
      <c r="D177" s="8" t="s">
        <v>1116</v>
      </c>
      <c r="E177" s="8" t="s">
        <v>1134</v>
      </c>
      <c r="F177" s="8" t="s">
        <v>1135</v>
      </c>
      <c r="G177" s="8" t="s">
        <v>1136</v>
      </c>
      <c r="H177" s="8" t="s">
        <v>1137</v>
      </c>
      <c r="I177" s="8" t="s">
        <v>51</v>
      </c>
      <c r="J177" s="8">
        <v>2018</v>
      </c>
      <c r="K177" s="8"/>
      <c r="L177" s="8">
        <v>400</v>
      </c>
      <c r="M177" s="8"/>
      <c r="N177" s="8">
        <v>400</v>
      </c>
      <c r="O177" s="8" t="s">
        <v>846</v>
      </c>
      <c r="P177" s="8"/>
      <c r="Q177" s="8" t="s">
        <v>1138</v>
      </c>
      <c r="R177" s="8" t="s">
        <v>42</v>
      </c>
      <c r="S177" s="84" t="s">
        <v>1139</v>
      </c>
      <c r="T177" s="8"/>
      <c r="U177" s="8" t="s">
        <v>1140</v>
      </c>
      <c r="V177" s="8" t="s">
        <v>1141</v>
      </c>
    </row>
    <row r="178" spans="2:22" ht="15" customHeight="1" x14ac:dyDescent="0.3">
      <c r="B178" s="22">
        <v>171</v>
      </c>
      <c r="C178" s="8" t="s">
        <v>12</v>
      </c>
      <c r="D178" s="8" t="s">
        <v>1116</v>
      </c>
      <c r="E178" s="8" t="s">
        <v>1142</v>
      </c>
      <c r="F178" s="8" t="s">
        <v>1135</v>
      </c>
      <c r="G178" s="8" t="s">
        <v>1143</v>
      </c>
      <c r="H178" s="8" t="s">
        <v>1137</v>
      </c>
      <c r="I178" s="8" t="s">
        <v>51</v>
      </c>
      <c r="J178" s="8">
        <v>2017</v>
      </c>
      <c r="K178" s="8"/>
      <c r="L178" s="8">
        <v>400</v>
      </c>
      <c r="M178" s="8"/>
      <c r="N178" s="8">
        <v>400</v>
      </c>
      <c r="O178" s="8" t="s">
        <v>846</v>
      </c>
      <c r="P178" s="8"/>
      <c r="Q178" s="8" t="s">
        <v>1138</v>
      </c>
      <c r="R178" s="8" t="s">
        <v>42</v>
      </c>
      <c r="S178" s="84" t="s">
        <v>1139</v>
      </c>
      <c r="T178" s="8"/>
      <c r="U178" s="8" t="s">
        <v>1140</v>
      </c>
      <c r="V178" s="8" t="s">
        <v>1141</v>
      </c>
    </row>
    <row r="179" spans="2:22" ht="15" customHeight="1" x14ac:dyDescent="0.3">
      <c r="B179" s="22">
        <v>172</v>
      </c>
      <c r="C179" s="8" t="s">
        <v>12</v>
      </c>
      <c r="D179" s="8" t="s">
        <v>1116</v>
      </c>
      <c r="E179" s="8" t="s">
        <v>1144</v>
      </c>
      <c r="F179" s="8" t="s">
        <v>55</v>
      </c>
      <c r="G179" s="8" t="s">
        <v>1145</v>
      </c>
      <c r="H179" s="8" t="s">
        <v>1146</v>
      </c>
      <c r="I179" s="8" t="s">
        <v>67</v>
      </c>
      <c r="J179" s="8">
        <v>2015</v>
      </c>
      <c r="K179" s="8">
        <v>30</v>
      </c>
      <c r="L179" s="8">
        <v>870</v>
      </c>
      <c r="M179" s="8"/>
      <c r="N179" s="8">
        <v>900</v>
      </c>
      <c r="O179" s="12">
        <v>158655</v>
      </c>
      <c r="P179" s="8"/>
      <c r="Q179" s="8" t="s">
        <v>1147</v>
      </c>
      <c r="R179" s="8" t="s">
        <v>853</v>
      </c>
      <c r="S179" s="84" t="s">
        <v>1148</v>
      </c>
      <c r="T179" s="8" t="s">
        <v>43</v>
      </c>
      <c r="U179" s="8" t="s">
        <v>1149</v>
      </c>
      <c r="V179" s="8" t="s">
        <v>1150</v>
      </c>
    </row>
    <row r="180" spans="2:22" ht="15" customHeight="1" x14ac:dyDescent="0.3">
      <c r="B180" s="22">
        <v>173</v>
      </c>
      <c r="C180" s="8" t="s">
        <v>12</v>
      </c>
      <c r="D180" s="8" t="s">
        <v>1151</v>
      </c>
      <c r="E180" s="8" t="s">
        <v>1152</v>
      </c>
      <c r="F180" s="8" t="s">
        <v>95</v>
      </c>
      <c r="G180" s="8" t="s">
        <v>1153</v>
      </c>
      <c r="H180" s="8" t="s">
        <v>1154</v>
      </c>
      <c r="I180" s="8" t="s">
        <v>51</v>
      </c>
      <c r="J180" s="8">
        <v>2001</v>
      </c>
      <c r="K180" s="8"/>
      <c r="L180" s="8">
        <v>40</v>
      </c>
      <c r="M180" s="8">
        <v>7</v>
      </c>
      <c r="N180" s="8">
        <v>47</v>
      </c>
      <c r="O180" s="8" t="s">
        <v>846</v>
      </c>
      <c r="P180" s="8"/>
      <c r="Q180" s="8" t="s">
        <v>1155</v>
      </c>
      <c r="R180" s="8" t="s">
        <v>853</v>
      </c>
      <c r="S180" s="84" t="s">
        <v>1156</v>
      </c>
      <c r="T180" s="8"/>
      <c r="U180" s="8" t="s">
        <v>1157</v>
      </c>
      <c r="V180" s="8" t="s">
        <v>1158</v>
      </c>
    </row>
    <row r="181" spans="2:22" ht="15" customHeight="1" x14ac:dyDescent="0.3">
      <c r="B181" s="22">
        <v>174</v>
      </c>
      <c r="C181" s="8" t="s">
        <v>12</v>
      </c>
      <c r="D181" s="8" t="s">
        <v>1151</v>
      </c>
      <c r="E181" s="8" t="s">
        <v>1159</v>
      </c>
      <c r="F181" s="8" t="s">
        <v>390</v>
      </c>
      <c r="G181" s="8" t="s">
        <v>1160</v>
      </c>
      <c r="H181" s="8" t="s">
        <v>1161</v>
      </c>
      <c r="I181" s="8" t="s">
        <v>67</v>
      </c>
      <c r="J181" s="8">
        <v>2019</v>
      </c>
      <c r="K181" s="8"/>
      <c r="L181" s="8">
        <v>32</v>
      </c>
      <c r="M181" s="8">
        <v>2</v>
      </c>
      <c r="N181" s="8">
        <v>34</v>
      </c>
      <c r="O181" s="8" t="s">
        <v>846</v>
      </c>
      <c r="P181" s="8"/>
      <c r="Q181" s="8" t="s">
        <v>1162</v>
      </c>
      <c r="R181" s="8" t="s">
        <v>1163</v>
      </c>
      <c r="S181" s="84" t="s">
        <v>1156</v>
      </c>
      <c r="T181" s="8" t="s">
        <v>68</v>
      </c>
      <c r="U181" s="8" t="s">
        <v>1157</v>
      </c>
      <c r="V181" s="8" t="s">
        <v>1158</v>
      </c>
    </row>
    <row r="182" spans="2:22" ht="15" customHeight="1" x14ac:dyDescent="0.3">
      <c r="B182" s="22">
        <v>175</v>
      </c>
      <c r="C182" s="8" t="s">
        <v>12</v>
      </c>
      <c r="D182" s="8" t="s">
        <v>1151</v>
      </c>
      <c r="E182" s="8" t="s">
        <v>1164</v>
      </c>
      <c r="F182" s="8" t="s">
        <v>390</v>
      </c>
      <c r="G182" s="8" t="s">
        <v>1165</v>
      </c>
      <c r="H182" s="8" t="s">
        <v>1166</v>
      </c>
      <c r="I182" s="8" t="s">
        <v>67</v>
      </c>
      <c r="J182" s="8">
        <v>2006</v>
      </c>
      <c r="K182" s="8">
        <v>30</v>
      </c>
      <c r="L182" s="8">
        <v>50</v>
      </c>
      <c r="M182" s="8">
        <v>750</v>
      </c>
      <c r="N182" s="8">
        <v>830</v>
      </c>
      <c r="O182" s="8" t="s">
        <v>869</v>
      </c>
      <c r="P182" s="8"/>
      <c r="Q182" s="8" t="s">
        <v>1167</v>
      </c>
      <c r="R182" s="8" t="s">
        <v>853</v>
      </c>
      <c r="S182" s="84" t="s">
        <v>1168</v>
      </c>
      <c r="T182" s="8" t="s">
        <v>43</v>
      </c>
      <c r="U182" s="8" t="s">
        <v>1157</v>
      </c>
      <c r="V182" s="8" t="s">
        <v>1158</v>
      </c>
    </row>
    <row r="183" spans="2:22" ht="15" customHeight="1" x14ac:dyDescent="0.3">
      <c r="B183" s="22">
        <v>176</v>
      </c>
      <c r="C183" s="8" t="s">
        <v>12</v>
      </c>
      <c r="D183" s="8" t="s">
        <v>1169</v>
      </c>
      <c r="E183" s="8" t="s">
        <v>1170</v>
      </c>
      <c r="F183" s="8" t="s">
        <v>95</v>
      </c>
      <c r="G183" s="8" t="s">
        <v>1171</v>
      </c>
      <c r="H183" s="8" t="s">
        <v>1172</v>
      </c>
      <c r="I183" s="8" t="s">
        <v>51</v>
      </c>
      <c r="J183" s="8">
        <v>2004</v>
      </c>
      <c r="K183" s="8"/>
      <c r="L183" s="8">
        <v>120</v>
      </c>
      <c r="M183" s="8">
        <v>95</v>
      </c>
      <c r="N183" s="8">
        <v>215</v>
      </c>
      <c r="O183" s="12" t="s">
        <v>846</v>
      </c>
      <c r="P183" s="8"/>
      <c r="Q183" s="8" t="s">
        <v>1173</v>
      </c>
      <c r="R183" s="8" t="s">
        <v>853</v>
      </c>
      <c r="S183" s="84"/>
      <c r="T183" s="8"/>
      <c r="U183" s="8" t="s">
        <v>1174</v>
      </c>
      <c r="V183" s="8" t="s">
        <v>1175</v>
      </c>
    </row>
    <row r="184" spans="2:22" ht="15" customHeight="1" x14ac:dyDescent="0.3">
      <c r="B184" s="22">
        <v>177</v>
      </c>
      <c r="C184" s="8" t="s">
        <v>12</v>
      </c>
      <c r="D184" s="8" t="s">
        <v>1169</v>
      </c>
      <c r="E184" s="25" t="s">
        <v>1176</v>
      </c>
      <c r="F184" s="25" t="s">
        <v>390</v>
      </c>
      <c r="G184" s="25" t="s">
        <v>857</v>
      </c>
      <c r="H184" s="25" t="s">
        <v>1177</v>
      </c>
      <c r="I184" s="25" t="s">
        <v>67</v>
      </c>
      <c r="J184" s="25">
        <v>2005</v>
      </c>
      <c r="K184" s="25"/>
      <c r="L184" s="25">
        <v>200</v>
      </c>
      <c r="M184" s="25">
        <v>30</v>
      </c>
      <c r="N184" s="25">
        <v>230</v>
      </c>
      <c r="O184" s="26" t="s">
        <v>846</v>
      </c>
      <c r="P184" s="25"/>
      <c r="Q184" s="25" t="s">
        <v>1178</v>
      </c>
      <c r="R184" s="25" t="s">
        <v>853</v>
      </c>
      <c r="S184" s="130"/>
      <c r="T184" s="25"/>
      <c r="U184" s="25" t="s">
        <v>1179</v>
      </c>
      <c r="V184" s="25" t="s">
        <v>1180</v>
      </c>
    </row>
    <row r="185" spans="2:22" ht="15" customHeight="1" x14ac:dyDescent="0.3">
      <c r="B185" s="22">
        <v>178</v>
      </c>
      <c r="C185" s="8" t="s">
        <v>12</v>
      </c>
      <c r="D185" s="8" t="s">
        <v>1169</v>
      </c>
      <c r="E185" s="8" t="s">
        <v>1181</v>
      </c>
      <c r="F185" s="8" t="s">
        <v>95</v>
      </c>
      <c r="G185" s="8" t="s">
        <v>1182</v>
      </c>
      <c r="H185" s="8" t="s">
        <v>1183</v>
      </c>
      <c r="I185" s="8" t="s">
        <v>51</v>
      </c>
      <c r="J185" s="8">
        <v>1996</v>
      </c>
      <c r="K185" s="8"/>
      <c r="L185" s="8">
        <v>120</v>
      </c>
      <c r="M185" s="8">
        <v>20</v>
      </c>
      <c r="N185" s="8">
        <v>140</v>
      </c>
      <c r="O185" s="12" t="s">
        <v>846</v>
      </c>
      <c r="P185" s="8"/>
      <c r="Q185" s="8" t="s">
        <v>1184</v>
      </c>
      <c r="R185" s="8" t="s">
        <v>853</v>
      </c>
      <c r="S185" s="84"/>
      <c r="T185" s="8"/>
      <c r="U185" s="8" t="s">
        <v>1185</v>
      </c>
      <c r="V185" s="8" t="s">
        <v>1186</v>
      </c>
    </row>
    <row r="186" spans="2:22" ht="15" customHeight="1" x14ac:dyDescent="0.3">
      <c r="B186" s="22">
        <v>179</v>
      </c>
      <c r="C186" s="8" t="s">
        <v>12</v>
      </c>
      <c r="D186" s="8" t="s">
        <v>1169</v>
      </c>
      <c r="E186" s="25" t="s">
        <v>1187</v>
      </c>
      <c r="F186" s="25" t="s">
        <v>390</v>
      </c>
      <c r="G186" s="25" t="s">
        <v>1188</v>
      </c>
      <c r="H186" s="25" t="s">
        <v>1189</v>
      </c>
      <c r="I186" s="25" t="s">
        <v>51</v>
      </c>
      <c r="J186" s="25">
        <v>1997</v>
      </c>
      <c r="K186" s="25"/>
      <c r="L186" s="25">
        <v>46</v>
      </c>
      <c r="M186" s="25">
        <v>30</v>
      </c>
      <c r="N186" s="25">
        <v>76</v>
      </c>
      <c r="O186" s="26" t="s">
        <v>846</v>
      </c>
      <c r="P186" s="25"/>
      <c r="Q186" s="50" t="s">
        <v>1190</v>
      </c>
      <c r="R186" s="25" t="s">
        <v>853</v>
      </c>
      <c r="S186" s="130"/>
      <c r="T186" s="25"/>
      <c r="U186" s="25" t="s">
        <v>1191</v>
      </c>
      <c r="V186" s="25" t="s">
        <v>1192</v>
      </c>
    </row>
    <row r="187" spans="2:22" ht="15" customHeight="1" x14ac:dyDescent="0.3">
      <c r="B187" s="22">
        <v>180</v>
      </c>
      <c r="C187" s="8" t="s">
        <v>12</v>
      </c>
      <c r="D187" s="8" t="s">
        <v>1169</v>
      </c>
      <c r="E187" s="8" t="s">
        <v>1193</v>
      </c>
      <c r="F187" s="8" t="s">
        <v>50</v>
      </c>
      <c r="G187" s="8" t="s">
        <v>1194</v>
      </c>
      <c r="H187" s="8" t="s">
        <v>1195</v>
      </c>
      <c r="I187" s="8" t="s">
        <v>67</v>
      </c>
      <c r="J187" s="8">
        <v>1972</v>
      </c>
      <c r="K187" s="8"/>
      <c r="L187" s="8">
        <v>910</v>
      </c>
      <c r="M187" s="8">
        <v>70</v>
      </c>
      <c r="N187" s="8">
        <f>SUM(L187:M187)</f>
        <v>980</v>
      </c>
      <c r="O187" s="12" t="s">
        <v>869</v>
      </c>
      <c r="P187" s="8"/>
      <c r="Q187" s="8" t="s">
        <v>1196</v>
      </c>
      <c r="R187" s="8" t="s">
        <v>173</v>
      </c>
      <c r="S187" s="84" t="s">
        <v>1197</v>
      </c>
      <c r="T187" s="8"/>
      <c r="U187" s="8" t="s">
        <v>1198</v>
      </c>
      <c r="V187" s="8" t="s">
        <v>1199</v>
      </c>
    </row>
    <row r="188" spans="2:22" ht="15" customHeight="1" x14ac:dyDescent="0.3">
      <c r="B188" s="22">
        <v>181</v>
      </c>
      <c r="C188" s="8" t="s">
        <v>12</v>
      </c>
      <c r="D188" s="8" t="s">
        <v>1169</v>
      </c>
      <c r="E188" s="8" t="s">
        <v>1200</v>
      </c>
      <c r="F188" s="8" t="s">
        <v>390</v>
      </c>
      <c r="G188" s="8" t="s">
        <v>1201</v>
      </c>
      <c r="H188" s="8" t="s">
        <v>1202</v>
      </c>
      <c r="I188" s="8" t="s">
        <v>51</v>
      </c>
      <c r="J188" s="8">
        <v>2018</v>
      </c>
      <c r="K188" s="8"/>
      <c r="L188" s="8">
        <v>32</v>
      </c>
      <c r="M188" s="8">
        <v>5</v>
      </c>
      <c r="N188" s="8">
        <v>37</v>
      </c>
      <c r="O188" s="12" t="s">
        <v>846</v>
      </c>
      <c r="P188" s="8"/>
      <c r="Q188" s="8" t="s">
        <v>1203</v>
      </c>
      <c r="R188" s="8" t="s">
        <v>732</v>
      </c>
      <c r="S188" s="84" t="s">
        <v>1204</v>
      </c>
      <c r="T188" s="8"/>
      <c r="U188" s="8" t="s">
        <v>1205</v>
      </c>
      <c r="V188" s="8" t="s">
        <v>1206</v>
      </c>
    </row>
    <row r="189" spans="2:22" ht="15" customHeight="1" x14ac:dyDescent="0.3">
      <c r="B189" s="22">
        <v>182</v>
      </c>
      <c r="C189" s="8" t="s">
        <v>12</v>
      </c>
      <c r="D189" s="8" t="s">
        <v>1207</v>
      </c>
      <c r="E189" s="8" t="s">
        <v>1208</v>
      </c>
      <c r="F189" s="8" t="s">
        <v>1209</v>
      </c>
      <c r="G189" s="8" t="s">
        <v>1210</v>
      </c>
      <c r="H189" s="8" t="s">
        <v>1211</v>
      </c>
      <c r="I189" s="8" t="s">
        <v>51</v>
      </c>
      <c r="J189" s="8">
        <v>2016</v>
      </c>
      <c r="K189" s="8"/>
      <c r="L189" s="8">
        <v>30</v>
      </c>
      <c r="M189" s="8"/>
      <c r="N189" s="8">
        <v>30</v>
      </c>
      <c r="O189" s="8" t="s">
        <v>846</v>
      </c>
      <c r="P189" s="8"/>
      <c r="Q189" s="8" t="s">
        <v>1212</v>
      </c>
      <c r="R189" s="25" t="s">
        <v>853</v>
      </c>
      <c r="S189" s="84" t="s">
        <v>1213</v>
      </c>
      <c r="T189" s="8"/>
      <c r="U189" s="8" t="s">
        <v>1214</v>
      </c>
      <c r="V189" s="8" t="s">
        <v>1215</v>
      </c>
    </row>
    <row r="190" spans="2:22" ht="15" customHeight="1" x14ac:dyDescent="0.3">
      <c r="B190" s="22">
        <v>183</v>
      </c>
      <c r="C190" s="8" t="s">
        <v>12</v>
      </c>
      <c r="D190" s="8" t="s">
        <v>1207</v>
      </c>
      <c r="E190" s="8" t="s">
        <v>1216</v>
      </c>
      <c r="F190" s="8" t="s">
        <v>390</v>
      </c>
      <c r="G190" s="8" t="s">
        <v>614</v>
      </c>
      <c r="H190" s="8" t="s">
        <v>1217</v>
      </c>
      <c r="I190" s="25" t="s">
        <v>51</v>
      </c>
      <c r="J190" s="8">
        <v>2007</v>
      </c>
      <c r="K190" s="8"/>
      <c r="L190" s="8">
        <v>120</v>
      </c>
      <c r="M190" s="8"/>
      <c r="N190" s="8">
        <v>120</v>
      </c>
      <c r="O190" s="8" t="s">
        <v>846</v>
      </c>
      <c r="P190" s="8"/>
      <c r="Q190" s="8" t="s">
        <v>1218</v>
      </c>
      <c r="R190" s="25" t="s">
        <v>853</v>
      </c>
      <c r="S190" s="84" t="s">
        <v>1219</v>
      </c>
      <c r="T190" s="8"/>
      <c r="U190" s="8" t="s">
        <v>1220</v>
      </c>
      <c r="V190" s="8" t="s">
        <v>1221</v>
      </c>
    </row>
    <row r="191" spans="2:22" ht="15" customHeight="1" x14ac:dyDescent="0.3">
      <c r="B191" s="22">
        <v>184</v>
      </c>
      <c r="C191" s="8" t="s">
        <v>12</v>
      </c>
      <c r="D191" s="8" t="s">
        <v>1207</v>
      </c>
      <c r="E191" s="8" t="s">
        <v>1222</v>
      </c>
      <c r="F191" s="8" t="s">
        <v>1223</v>
      </c>
      <c r="G191" s="8" t="s">
        <v>1224</v>
      </c>
      <c r="H191" s="8" t="s">
        <v>1225</v>
      </c>
      <c r="I191" s="8" t="s">
        <v>67</v>
      </c>
      <c r="J191" s="8">
        <v>2012</v>
      </c>
      <c r="K191" s="8"/>
      <c r="L191" s="12">
        <v>1100</v>
      </c>
      <c r="M191" s="8"/>
      <c r="N191" s="12">
        <v>1100</v>
      </c>
      <c r="O191" s="12" t="s">
        <v>932</v>
      </c>
      <c r="P191" s="12"/>
      <c r="Q191" s="8" t="s">
        <v>1226</v>
      </c>
      <c r="R191" s="25" t="s">
        <v>853</v>
      </c>
      <c r="S191" s="84" t="s">
        <v>1227</v>
      </c>
      <c r="T191" s="8"/>
      <c r="U191" s="8" t="s">
        <v>1228</v>
      </c>
      <c r="V191" s="8" t="s">
        <v>1229</v>
      </c>
    </row>
    <row r="192" spans="2:22" ht="15" customHeight="1" x14ac:dyDescent="0.3">
      <c r="B192" s="22">
        <v>185</v>
      </c>
      <c r="C192" s="8" t="s">
        <v>12</v>
      </c>
      <c r="D192" s="8" t="s">
        <v>1207</v>
      </c>
      <c r="E192" s="8" t="s">
        <v>1230</v>
      </c>
      <c r="F192" s="8" t="s">
        <v>1231</v>
      </c>
      <c r="G192" s="8" t="s">
        <v>1232</v>
      </c>
      <c r="H192" s="8" t="s">
        <v>1233</v>
      </c>
      <c r="I192" s="8" t="s">
        <v>422</v>
      </c>
      <c r="J192" s="8">
        <v>2019</v>
      </c>
      <c r="K192" s="8"/>
      <c r="L192" s="8">
        <v>120</v>
      </c>
      <c r="M192" s="8"/>
      <c r="N192" s="8">
        <v>120</v>
      </c>
      <c r="O192" s="8" t="s">
        <v>846</v>
      </c>
      <c r="P192" s="8"/>
      <c r="Q192" s="8" t="s">
        <v>1234</v>
      </c>
      <c r="R192" s="8" t="s">
        <v>732</v>
      </c>
      <c r="S192" s="84"/>
      <c r="T192" s="8"/>
      <c r="U192" s="8" t="s">
        <v>1235</v>
      </c>
      <c r="V192" s="8" t="s">
        <v>1236</v>
      </c>
    </row>
    <row r="193" spans="2:22" ht="15" customHeight="1" x14ac:dyDescent="0.3">
      <c r="B193" s="22">
        <v>186</v>
      </c>
      <c r="C193" s="8" t="s">
        <v>12</v>
      </c>
      <c r="D193" s="8" t="s">
        <v>1207</v>
      </c>
      <c r="E193" s="8" t="s">
        <v>1237</v>
      </c>
      <c r="F193" s="8" t="s">
        <v>1238</v>
      </c>
      <c r="G193" s="8" t="s">
        <v>539</v>
      </c>
      <c r="H193" s="8" t="s">
        <v>1233</v>
      </c>
      <c r="I193" s="8" t="s">
        <v>422</v>
      </c>
      <c r="J193" s="8">
        <v>2019</v>
      </c>
      <c r="K193" s="8"/>
      <c r="L193" s="8">
        <v>250</v>
      </c>
      <c r="M193" s="8"/>
      <c r="N193" s="8">
        <v>250</v>
      </c>
      <c r="O193" s="8" t="s">
        <v>846</v>
      </c>
      <c r="P193" s="8"/>
      <c r="Q193" s="8" t="s">
        <v>1234</v>
      </c>
      <c r="R193" s="8" t="s">
        <v>732</v>
      </c>
      <c r="S193" s="84"/>
      <c r="T193" s="8"/>
      <c r="U193" s="8" t="s">
        <v>1235</v>
      </c>
      <c r="V193" s="8" t="s">
        <v>1236</v>
      </c>
    </row>
    <row r="194" spans="2:22" ht="15" customHeight="1" x14ac:dyDescent="0.3">
      <c r="B194" s="22">
        <v>187</v>
      </c>
      <c r="C194" s="8" t="s">
        <v>12</v>
      </c>
      <c r="D194" s="8" t="s">
        <v>1207</v>
      </c>
      <c r="E194" s="22" t="s">
        <v>1239</v>
      </c>
      <c r="F194" s="59" t="s">
        <v>1238</v>
      </c>
      <c r="G194" s="22" t="s">
        <v>1240</v>
      </c>
      <c r="H194" s="22" t="s">
        <v>1233</v>
      </c>
      <c r="I194" s="22" t="s">
        <v>67</v>
      </c>
      <c r="J194" s="22">
        <v>2018</v>
      </c>
      <c r="K194" s="22"/>
      <c r="L194" s="22">
        <v>500</v>
      </c>
      <c r="M194" s="22"/>
      <c r="N194" s="22">
        <v>500</v>
      </c>
      <c r="O194" s="23">
        <v>2000</v>
      </c>
      <c r="P194" s="22"/>
      <c r="Q194" s="22" t="s">
        <v>1241</v>
      </c>
      <c r="R194" s="8" t="s">
        <v>732</v>
      </c>
      <c r="S194" s="88"/>
      <c r="T194" s="22"/>
      <c r="U194" s="22" t="s">
        <v>1228</v>
      </c>
      <c r="V194" s="22" t="s">
        <v>1229</v>
      </c>
    </row>
    <row r="195" spans="2:22" ht="15" customHeight="1" x14ac:dyDescent="0.3">
      <c r="B195" s="22">
        <v>188</v>
      </c>
      <c r="C195" s="8" t="s">
        <v>12</v>
      </c>
      <c r="D195" s="8" t="s">
        <v>1207</v>
      </c>
      <c r="E195" s="22" t="s">
        <v>1242</v>
      </c>
      <c r="F195" s="59" t="s">
        <v>1243</v>
      </c>
      <c r="G195" s="22" t="s">
        <v>1244</v>
      </c>
      <c r="H195" s="22" t="s">
        <v>1245</v>
      </c>
      <c r="I195" s="22" t="s">
        <v>51</v>
      </c>
      <c r="J195" s="22">
        <v>2010</v>
      </c>
      <c r="K195" s="22"/>
      <c r="L195" s="22">
        <v>170</v>
      </c>
      <c r="M195" s="22"/>
      <c r="N195" s="22">
        <v>170</v>
      </c>
      <c r="O195" s="8" t="s">
        <v>846</v>
      </c>
      <c r="P195" s="22"/>
      <c r="Q195" s="22" t="s">
        <v>1246</v>
      </c>
      <c r="R195" s="8" t="s">
        <v>732</v>
      </c>
      <c r="S195" s="88"/>
      <c r="T195" s="22"/>
      <c r="U195" s="22" t="s">
        <v>1247</v>
      </c>
      <c r="V195" s="22" t="s">
        <v>1248</v>
      </c>
    </row>
    <row r="196" spans="2:22" ht="15" customHeight="1" x14ac:dyDescent="0.3">
      <c r="B196" s="22">
        <v>189</v>
      </c>
      <c r="C196" s="8" t="s">
        <v>12</v>
      </c>
      <c r="D196" s="8" t="s">
        <v>1207</v>
      </c>
      <c r="E196" s="8" t="s">
        <v>1249</v>
      </c>
      <c r="F196" s="8" t="s">
        <v>390</v>
      </c>
      <c r="G196" s="8" t="s">
        <v>1250</v>
      </c>
      <c r="H196" s="8" t="s">
        <v>1251</v>
      </c>
      <c r="I196" s="25" t="s">
        <v>51</v>
      </c>
      <c r="J196" s="8">
        <v>2015</v>
      </c>
      <c r="K196" s="8"/>
      <c r="L196" s="8">
        <v>32</v>
      </c>
      <c r="M196" s="8"/>
      <c r="N196" s="8">
        <v>32</v>
      </c>
      <c r="O196" s="8" t="s">
        <v>846</v>
      </c>
      <c r="P196" s="8"/>
      <c r="Q196" s="8" t="s">
        <v>1252</v>
      </c>
      <c r="R196" s="8" t="s">
        <v>888</v>
      </c>
      <c r="S196" s="84"/>
      <c r="T196" s="8"/>
      <c r="U196" s="8" t="s">
        <v>1253</v>
      </c>
      <c r="V196" s="8" t="s">
        <v>1254</v>
      </c>
    </row>
    <row r="197" spans="2:22" ht="15" customHeight="1" x14ac:dyDescent="0.3">
      <c r="B197" s="22">
        <v>190</v>
      </c>
      <c r="C197" s="8" t="s">
        <v>12</v>
      </c>
      <c r="D197" s="8" t="s">
        <v>1207</v>
      </c>
      <c r="E197" s="22" t="s">
        <v>1255</v>
      </c>
      <c r="F197" s="22" t="s">
        <v>390</v>
      </c>
      <c r="G197" s="22" t="s">
        <v>1256</v>
      </c>
      <c r="H197" s="22" t="s">
        <v>1257</v>
      </c>
      <c r="I197" s="22" t="s">
        <v>51</v>
      </c>
      <c r="J197" s="22">
        <v>2009</v>
      </c>
      <c r="K197" s="22"/>
      <c r="L197" s="22">
        <v>15</v>
      </c>
      <c r="M197" s="22"/>
      <c r="N197" s="22">
        <v>15</v>
      </c>
      <c r="O197" s="8" t="s">
        <v>846</v>
      </c>
      <c r="P197" s="22"/>
      <c r="Q197" s="22" t="s">
        <v>1258</v>
      </c>
      <c r="R197" s="22" t="s">
        <v>1259</v>
      </c>
      <c r="S197" s="88" t="s">
        <v>1260</v>
      </c>
      <c r="T197" s="22"/>
      <c r="U197" s="22" t="s">
        <v>1261</v>
      </c>
      <c r="V197" s="22" t="s">
        <v>1262</v>
      </c>
    </row>
    <row r="198" spans="2:22" ht="15" customHeight="1" x14ac:dyDescent="0.3">
      <c r="B198" s="22">
        <v>191</v>
      </c>
      <c r="C198" s="8" t="s">
        <v>12</v>
      </c>
      <c r="D198" s="8" t="s">
        <v>1207</v>
      </c>
      <c r="E198" s="22" t="s">
        <v>1263</v>
      </c>
      <c r="F198" s="22" t="s">
        <v>95</v>
      </c>
      <c r="G198" s="22" t="s">
        <v>1264</v>
      </c>
      <c r="H198" s="22" t="s">
        <v>1265</v>
      </c>
      <c r="I198" s="22" t="s">
        <v>51</v>
      </c>
      <c r="J198" s="22">
        <v>2014</v>
      </c>
      <c r="K198" s="22"/>
      <c r="L198" s="22">
        <v>15</v>
      </c>
      <c r="M198" s="22"/>
      <c r="N198" s="22">
        <v>15</v>
      </c>
      <c r="O198" s="8" t="s">
        <v>846</v>
      </c>
      <c r="P198" s="22"/>
      <c r="Q198" s="22" t="s">
        <v>1266</v>
      </c>
      <c r="R198" s="8" t="s">
        <v>732</v>
      </c>
      <c r="S198" s="88"/>
      <c r="T198" s="22"/>
      <c r="U198" s="22" t="s">
        <v>1267</v>
      </c>
      <c r="V198" s="22" t="s">
        <v>1268</v>
      </c>
    </row>
    <row r="199" spans="2:22" ht="15" customHeight="1" x14ac:dyDescent="0.3">
      <c r="B199" s="22">
        <v>192</v>
      </c>
      <c r="C199" s="8" t="s">
        <v>12</v>
      </c>
      <c r="D199" s="8" t="s">
        <v>1207</v>
      </c>
      <c r="E199" s="8" t="s">
        <v>1269</v>
      </c>
      <c r="F199" s="8" t="s">
        <v>1270</v>
      </c>
      <c r="G199" s="8" t="s">
        <v>1271</v>
      </c>
      <c r="H199" s="8" t="s">
        <v>1272</v>
      </c>
      <c r="I199" s="25" t="s">
        <v>51</v>
      </c>
      <c r="J199" s="8">
        <v>2010</v>
      </c>
      <c r="K199" s="8"/>
      <c r="L199" s="8">
        <v>50</v>
      </c>
      <c r="M199" s="8"/>
      <c r="N199" s="8">
        <v>50</v>
      </c>
      <c r="O199" s="12" t="s">
        <v>846</v>
      </c>
      <c r="P199" s="8"/>
      <c r="Q199" s="8" t="s">
        <v>1273</v>
      </c>
      <c r="R199" s="8" t="s">
        <v>1274</v>
      </c>
      <c r="S199" s="84" t="s">
        <v>1213</v>
      </c>
      <c r="T199" s="8"/>
      <c r="U199" s="8" t="s">
        <v>1275</v>
      </c>
      <c r="V199" s="8" t="s">
        <v>1276</v>
      </c>
    </row>
    <row r="200" spans="2:22" ht="15" customHeight="1" x14ac:dyDescent="0.3">
      <c r="B200" s="22">
        <v>193</v>
      </c>
      <c r="C200" s="169" t="s">
        <v>14</v>
      </c>
      <c r="D200" s="170" t="s">
        <v>1277</v>
      </c>
      <c r="E200" s="171" t="s">
        <v>1278</v>
      </c>
      <c r="F200" s="169" t="s">
        <v>390</v>
      </c>
      <c r="G200" s="171" t="s">
        <v>1279</v>
      </c>
      <c r="H200" s="169" t="s">
        <v>1280</v>
      </c>
      <c r="I200" s="172" t="s">
        <v>1281</v>
      </c>
      <c r="J200" s="169" t="s">
        <v>1282</v>
      </c>
      <c r="K200" s="169"/>
      <c r="L200" s="169">
        <v>50</v>
      </c>
      <c r="M200" s="169">
        <v>12.5</v>
      </c>
      <c r="N200" s="169">
        <f>SUM(K200:M200)</f>
        <v>62.5</v>
      </c>
      <c r="O200" s="173">
        <v>0</v>
      </c>
      <c r="P200" s="174"/>
      <c r="Q200" s="174" t="s">
        <v>1283</v>
      </c>
      <c r="R200" s="174" t="s">
        <v>1284</v>
      </c>
      <c r="S200" s="175"/>
      <c r="T200" s="175"/>
      <c r="U200" s="169" t="s">
        <v>1285</v>
      </c>
      <c r="V200" s="169" t="s">
        <v>1286</v>
      </c>
    </row>
    <row r="201" spans="2:22" ht="15" customHeight="1" x14ac:dyDescent="0.3">
      <c r="B201" s="22">
        <v>194</v>
      </c>
      <c r="C201" s="169" t="s">
        <v>14</v>
      </c>
      <c r="D201" s="170" t="s">
        <v>1277</v>
      </c>
      <c r="E201" s="171" t="s">
        <v>1287</v>
      </c>
      <c r="F201" s="169" t="s">
        <v>55</v>
      </c>
      <c r="G201" s="171" t="s">
        <v>1288</v>
      </c>
      <c r="H201" s="169" t="s">
        <v>1289</v>
      </c>
      <c r="I201" s="172" t="s">
        <v>1281</v>
      </c>
      <c r="J201" s="169" t="s">
        <v>1290</v>
      </c>
      <c r="K201" s="169"/>
      <c r="L201" s="169">
        <v>500</v>
      </c>
      <c r="M201" s="169"/>
      <c r="N201" s="169">
        <f t="shared" ref="N201:N203" si="0">SUM(K201:M201)</f>
        <v>500</v>
      </c>
      <c r="O201" s="173">
        <v>0</v>
      </c>
      <c r="P201" s="174"/>
      <c r="Q201" s="176" t="s">
        <v>196</v>
      </c>
      <c r="R201" s="174" t="s">
        <v>732</v>
      </c>
      <c r="S201" s="175"/>
      <c r="T201" s="175"/>
      <c r="U201" s="169" t="s">
        <v>1291</v>
      </c>
      <c r="V201" s="169" t="s">
        <v>1292</v>
      </c>
    </row>
    <row r="202" spans="2:22" ht="15" customHeight="1" x14ac:dyDescent="0.3">
      <c r="B202" s="22">
        <v>195</v>
      </c>
      <c r="C202" s="169" t="s">
        <v>14</v>
      </c>
      <c r="D202" s="170" t="s">
        <v>1277</v>
      </c>
      <c r="E202" s="171" t="s">
        <v>1293</v>
      </c>
      <c r="F202" s="169" t="s">
        <v>390</v>
      </c>
      <c r="G202" s="171" t="s">
        <v>1294</v>
      </c>
      <c r="H202" s="169" t="s">
        <v>1295</v>
      </c>
      <c r="I202" s="172" t="s">
        <v>1281</v>
      </c>
      <c r="J202" s="169" t="s">
        <v>1296</v>
      </c>
      <c r="K202" s="169"/>
      <c r="L202" s="169">
        <v>14.5</v>
      </c>
      <c r="M202" s="169">
        <v>3.6</v>
      </c>
      <c r="N202" s="169">
        <f t="shared" si="0"/>
        <v>18.100000000000001</v>
      </c>
      <c r="O202" s="173">
        <v>0</v>
      </c>
      <c r="P202" s="174"/>
      <c r="Q202" s="176" t="s">
        <v>1297</v>
      </c>
      <c r="R202" s="174"/>
      <c r="S202" s="177"/>
      <c r="T202" s="177"/>
      <c r="U202" s="169" t="s">
        <v>1285</v>
      </c>
      <c r="V202" s="169" t="s">
        <v>1286</v>
      </c>
    </row>
    <row r="203" spans="2:22" ht="15" customHeight="1" x14ac:dyDescent="0.3">
      <c r="B203" s="22">
        <v>196</v>
      </c>
      <c r="C203" s="169" t="s">
        <v>14</v>
      </c>
      <c r="D203" s="170" t="s">
        <v>1277</v>
      </c>
      <c r="E203" s="171" t="s">
        <v>1298</v>
      </c>
      <c r="F203" s="169" t="s">
        <v>55</v>
      </c>
      <c r="G203" s="171" t="s">
        <v>1299</v>
      </c>
      <c r="H203" s="169" t="s">
        <v>1300</v>
      </c>
      <c r="I203" s="172" t="s">
        <v>1281</v>
      </c>
      <c r="J203" s="169" t="s">
        <v>1301</v>
      </c>
      <c r="K203" s="169">
        <v>30</v>
      </c>
      <c r="L203" s="169">
        <v>830</v>
      </c>
      <c r="M203" s="169"/>
      <c r="N203" s="169">
        <f t="shared" si="0"/>
        <v>860</v>
      </c>
      <c r="O203" s="173">
        <v>70000</v>
      </c>
      <c r="P203" s="174"/>
      <c r="Q203" s="176" t="s">
        <v>1302</v>
      </c>
      <c r="R203" s="174" t="s">
        <v>42</v>
      </c>
      <c r="S203" s="178" t="s">
        <v>1303</v>
      </c>
      <c r="T203" s="174" t="s">
        <v>1304</v>
      </c>
      <c r="U203" s="179" t="s">
        <v>1305</v>
      </c>
      <c r="V203" s="180" t="s">
        <v>1306</v>
      </c>
    </row>
    <row r="204" spans="2:22" ht="15" customHeight="1" x14ac:dyDescent="0.3">
      <c r="B204" s="22">
        <v>197</v>
      </c>
      <c r="C204" s="169" t="s">
        <v>14</v>
      </c>
      <c r="D204" s="170" t="s">
        <v>1277</v>
      </c>
      <c r="E204" s="171" t="s">
        <v>1307</v>
      </c>
      <c r="F204" s="169" t="s">
        <v>390</v>
      </c>
      <c r="G204" s="171" t="s">
        <v>1308</v>
      </c>
      <c r="H204" s="179" t="s">
        <v>1309</v>
      </c>
      <c r="I204" s="172" t="s">
        <v>1281</v>
      </c>
      <c r="J204" s="180" t="s">
        <v>1296</v>
      </c>
      <c r="K204" s="180"/>
      <c r="L204" s="180">
        <v>19</v>
      </c>
      <c r="M204" s="180">
        <v>4</v>
      </c>
      <c r="N204" s="180">
        <v>23</v>
      </c>
      <c r="O204" s="181">
        <v>0</v>
      </c>
      <c r="P204" s="182"/>
      <c r="Q204" s="183" t="s">
        <v>1310</v>
      </c>
      <c r="R204" s="183" t="s">
        <v>1311</v>
      </c>
      <c r="S204" s="182"/>
      <c r="T204" s="182"/>
      <c r="U204" s="180" t="s">
        <v>1312</v>
      </c>
      <c r="V204" s="180" t="s">
        <v>1313</v>
      </c>
    </row>
    <row r="205" spans="2:22" ht="15" customHeight="1" x14ac:dyDescent="0.3">
      <c r="B205" s="22">
        <v>198</v>
      </c>
      <c r="C205" s="169" t="s">
        <v>14</v>
      </c>
      <c r="D205" s="170" t="s">
        <v>1277</v>
      </c>
      <c r="E205" s="171" t="s">
        <v>1314</v>
      </c>
      <c r="F205" s="169" t="s">
        <v>390</v>
      </c>
      <c r="G205" s="171" t="s">
        <v>1315</v>
      </c>
      <c r="H205" s="169" t="s">
        <v>1316</v>
      </c>
      <c r="I205" s="172" t="s">
        <v>1281</v>
      </c>
      <c r="J205" s="169" t="s">
        <v>98</v>
      </c>
      <c r="K205" s="169"/>
      <c r="L205" s="169">
        <v>43.4</v>
      </c>
      <c r="M205" s="169">
        <v>10.8</v>
      </c>
      <c r="N205" s="169">
        <f t="shared" ref="N205" si="1">SUM(K205:M205)</f>
        <v>54.2</v>
      </c>
      <c r="O205" s="173">
        <v>0</v>
      </c>
      <c r="P205" s="174"/>
      <c r="Q205" s="176" t="s">
        <v>1317</v>
      </c>
      <c r="R205" s="174" t="s">
        <v>1284</v>
      </c>
      <c r="S205" s="174"/>
      <c r="T205" s="174"/>
      <c r="U205" s="169" t="s">
        <v>1285</v>
      </c>
      <c r="V205" s="169" t="s">
        <v>1286</v>
      </c>
    </row>
    <row r="206" spans="2:22" ht="15" customHeight="1" x14ac:dyDescent="0.3">
      <c r="B206" s="22">
        <v>199</v>
      </c>
      <c r="C206" s="169" t="s">
        <v>14</v>
      </c>
      <c r="D206" s="170" t="s">
        <v>1277</v>
      </c>
      <c r="E206" s="171" t="s">
        <v>1318</v>
      </c>
      <c r="F206" s="169" t="s">
        <v>55</v>
      </c>
      <c r="G206" s="171" t="s">
        <v>1319</v>
      </c>
      <c r="H206" s="169" t="s">
        <v>1320</v>
      </c>
      <c r="I206" s="172" t="s">
        <v>1281</v>
      </c>
      <c r="J206" s="169" t="s">
        <v>1321</v>
      </c>
      <c r="K206" s="169"/>
      <c r="L206" s="169">
        <v>280</v>
      </c>
      <c r="M206" s="169"/>
      <c r="N206" s="169">
        <v>280</v>
      </c>
      <c r="O206" s="173">
        <v>0</v>
      </c>
      <c r="P206" s="174"/>
      <c r="Q206" s="176" t="s">
        <v>196</v>
      </c>
      <c r="R206" s="174" t="s">
        <v>732</v>
      </c>
      <c r="S206" s="174"/>
      <c r="T206" s="174"/>
      <c r="U206" s="169" t="s">
        <v>1291</v>
      </c>
      <c r="V206" s="169" t="s">
        <v>1292</v>
      </c>
    </row>
    <row r="207" spans="2:22" ht="15" customHeight="1" x14ac:dyDescent="0.3">
      <c r="B207" s="22">
        <v>200</v>
      </c>
      <c r="C207" s="169" t="s">
        <v>14</v>
      </c>
      <c r="D207" s="170" t="s">
        <v>1277</v>
      </c>
      <c r="E207" s="171" t="s">
        <v>1322</v>
      </c>
      <c r="F207" s="169" t="s">
        <v>390</v>
      </c>
      <c r="G207" s="171" t="s">
        <v>752</v>
      </c>
      <c r="H207" s="169" t="s">
        <v>1323</v>
      </c>
      <c r="I207" s="172" t="s">
        <v>1281</v>
      </c>
      <c r="J207" s="169" t="s">
        <v>114</v>
      </c>
      <c r="K207" s="169"/>
      <c r="L207" s="169">
        <v>21.6</v>
      </c>
      <c r="M207" s="169">
        <v>5.4</v>
      </c>
      <c r="N207" s="169">
        <f t="shared" ref="N207:N209" si="2">SUM(K207:M207)</f>
        <v>27</v>
      </c>
      <c r="O207" s="173">
        <v>0</v>
      </c>
      <c r="P207" s="174"/>
      <c r="Q207" s="176" t="s">
        <v>1324</v>
      </c>
      <c r="R207" s="174" t="s">
        <v>1284</v>
      </c>
      <c r="S207" s="174"/>
      <c r="T207" s="174"/>
      <c r="U207" s="169" t="s">
        <v>1285</v>
      </c>
      <c r="V207" s="169" t="s">
        <v>1286</v>
      </c>
    </row>
    <row r="208" spans="2:22" ht="15" customHeight="1" x14ac:dyDescent="0.3">
      <c r="B208" s="22">
        <v>201</v>
      </c>
      <c r="C208" s="169" t="s">
        <v>14</v>
      </c>
      <c r="D208" s="170" t="s">
        <v>1277</v>
      </c>
      <c r="E208" s="184" t="s">
        <v>1325</v>
      </c>
      <c r="F208" s="185" t="s">
        <v>95</v>
      </c>
      <c r="G208" s="184" t="s">
        <v>752</v>
      </c>
      <c r="H208" s="185" t="s">
        <v>1326</v>
      </c>
      <c r="I208" s="172" t="s">
        <v>1281</v>
      </c>
      <c r="J208" s="169" t="s">
        <v>98</v>
      </c>
      <c r="K208" s="169"/>
      <c r="L208" s="169">
        <v>100</v>
      </c>
      <c r="M208" s="169">
        <v>2</v>
      </c>
      <c r="N208" s="169">
        <f t="shared" si="2"/>
        <v>102</v>
      </c>
      <c r="O208" s="173">
        <v>0</v>
      </c>
      <c r="P208" s="174"/>
      <c r="Q208" s="176" t="s">
        <v>1327</v>
      </c>
      <c r="R208" s="174" t="s">
        <v>1284</v>
      </c>
      <c r="S208" s="174"/>
      <c r="T208" s="174"/>
      <c r="U208" s="169" t="s">
        <v>1328</v>
      </c>
      <c r="V208" s="169" t="s">
        <v>1329</v>
      </c>
    </row>
    <row r="209" spans="2:22" ht="15" customHeight="1" x14ac:dyDescent="0.3">
      <c r="B209" s="22">
        <v>202</v>
      </c>
      <c r="C209" s="169" t="s">
        <v>14</v>
      </c>
      <c r="D209" s="186" t="s">
        <v>1330</v>
      </c>
      <c r="E209" s="187" t="s">
        <v>1331</v>
      </c>
      <c r="F209" s="188" t="s">
        <v>1332</v>
      </c>
      <c r="G209" s="189" t="s">
        <v>747</v>
      </c>
      <c r="H209" s="188" t="s">
        <v>1333</v>
      </c>
      <c r="I209" s="172" t="s">
        <v>1281</v>
      </c>
      <c r="J209" s="188" t="s">
        <v>1334</v>
      </c>
      <c r="K209" s="190"/>
      <c r="L209" s="191">
        <v>100</v>
      </c>
      <c r="M209" s="191">
        <v>25</v>
      </c>
      <c r="N209" s="169">
        <f t="shared" si="2"/>
        <v>125</v>
      </c>
      <c r="O209" s="192">
        <v>499</v>
      </c>
      <c r="P209" s="193"/>
      <c r="Q209" s="194" t="s">
        <v>1335</v>
      </c>
      <c r="R209" s="193" t="s">
        <v>1284</v>
      </c>
      <c r="S209" s="195"/>
      <c r="T209" s="195"/>
      <c r="U209" s="196" t="s">
        <v>1336</v>
      </c>
      <c r="V209" s="196" t="s">
        <v>1337</v>
      </c>
    </row>
    <row r="210" spans="2:22" ht="15" customHeight="1" thickBot="1" x14ac:dyDescent="0.35">
      <c r="B210" s="22">
        <v>203</v>
      </c>
      <c r="C210" s="169" t="s">
        <v>14</v>
      </c>
      <c r="D210" s="186" t="s">
        <v>1330</v>
      </c>
      <c r="E210" s="197" t="s">
        <v>1338</v>
      </c>
      <c r="F210" s="169" t="s">
        <v>50</v>
      </c>
      <c r="G210" s="171" t="s">
        <v>1339</v>
      </c>
      <c r="H210" s="169" t="s">
        <v>1340</v>
      </c>
      <c r="I210" s="172" t="s">
        <v>1281</v>
      </c>
      <c r="J210" s="169" t="s">
        <v>1296</v>
      </c>
      <c r="K210" s="169">
        <v>0</v>
      </c>
      <c r="L210" s="169">
        <v>14</v>
      </c>
      <c r="M210" s="169">
        <v>0</v>
      </c>
      <c r="N210" s="169">
        <v>0</v>
      </c>
      <c r="O210" s="173">
        <v>3000</v>
      </c>
      <c r="P210" s="174">
        <v>0</v>
      </c>
      <c r="Q210" s="198" t="s">
        <v>1341</v>
      </c>
      <c r="R210" s="174" t="s">
        <v>1284</v>
      </c>
      <c r="S210" s="174"/>
      <c r="T210" s="174"/>
      <c r="U210" s="169" t="s">
        <v>1342</v>
      </c>
      <c r="V210" s="169" t="s">
        <v>1343</v>
      </c>
    </row>
    <row r="211" spans="2:22" ht="15" customHeight="1" x14ac:dyDescent="0.3">
      <c r="B211" s="22">
        <v>204</v>
      </c>
      <c r="C211" s="169" t="s">
        <v>14</v>
      </c>
      <c r="D211" s="170" t="s">
        <v>1277</v>
      </c>
      <c r="E211" s="171" t="s">
        <v>1344</v>
      </c>
      <c r="F211" s="169" t="s">
        <v>390</v>
      </c>
      <c r="G211" s="171" t="s">
        <v>1345</v>
      </c>
      <c r="H211" s="169" t="s">
        <v>1280</v>
      </c>
      <c r="I211" s="172" t="s">
        <v>1281</v>
      </c>
      <c r="J211" s="169" t="s">
        <v>40</v>
      </c>
      <c r="K211" s="169"/>
      <c r="L211" s="169">
        <v>22</v>
      </c>
      <c r="M211" s="169">
        <v>5.5</v>
      </c>
      <c r="N211" s="169">
        <f t="shared" ref="N211:N213" si="3">SUM(K211:M211)</f>
        <v>27.5</v>
      </c>
      <c r="O211" s="173">
        <v>0</v>
      </c>
      <c r="P211" s="174"/>
      <c r="Q211" s="176" t="s">
        <v>1346</v>
      </c>
      <c r="R211" s="174" t="s">
        <v>1284</v>
      </c>
      <c r="S211" s="174"/>
      <c r="T211" s="174"/>
      <c r="U211" s="169" t="s">
        <v>1285</v>
      </c>
      <c r="V211" s="169" t="s">
        <v>1286</v>
      </c>
    </row>
    <row r="212" spans="2:22" ht="15" customHeight="1" x14ac:dyDescent="0.3">
      <c r="B212" s="22">
        <v>205</v>
      </c>
      <c r="C212" s="169" t="s">
        <v>14</v>
      </c>
      <c r="D212" s="170" t="s">
        <v>1277</v>
      </c>
      <c r="E212" s="171" t="s">
        <v>1347</v>
      </c>
      <c r="F212" s="169" t="s">
        <v>390</v>
      </c>
      <c r="G212" s="171" t="s">
        <v>1348</v>
      </c>
      <c r="H212" s="169" t="s">
        <v>1349</v>
      </c>
      <c r="I212" s="172" t="s">
        <v>1281</v>
      </c>
      <c r="J212" s="169" t="s">
        <v>114</v>
      </c>
      <c r="K212" s="169"/>
      <c r="L212" s="169">
        <v>42</v>
      </c>
      <c r="M212" s="169">
        <v>10.5</v>
      </c>
      <c r="N212" s="169">
        <f t="shared" si="3"/>
        <v>52.5</v>
      </c>
      <c r="O212" s="173">
        <v>0</v>
      </c>
      <c r="P212" s="174"/>
      <c r="Q212" s="176" t="s">
        <v>1317</v>
      </c>
      <c r="R212" s="174" t="s">
        <v>1284</v>
      </c>
      <c r="S212" s="174"/>
      <c r="T212" s="174"/>
      <c r="U212" s="169" t="s">
        <v>1285</v>
      </c>
      <c r="V212" s="169" t="s">
        <v>1286</v>
      </c>
    </row>
    <row r="213" spans="2:22" ht="15" customHeight="1" x14ac:dyDescent="0.3">
      <c r="B213" s="22">
        <v>206</v>
      </c>
      <c r="C213" s="169" t="s">
        <v>14</v>
      </c>
      <c r="D213" s="170" t="s">
        <v>1277</v>
      </c>
      <c r="E213" s="171" t="s">
        <v>1350</v>
      </c>
      <c r="F213" s="169" t="s">
        <v>55</v>
      </c>
      <c r="G213" s="171" t="s">
        <v>1348</v>
      </c>
      <c r="H213" s="169" t="s">
        <v>1351</v>
      </c>
      <c r="I213" s="172" t="s">
        <v>1281</v>
      </c>
      <c r="J213" s="169" t="s">
        <v>1352</v>
      </c>
      <c r="K213" s="169"/>
      <c r="L213" s="169">
        <v>345</v>
      </c>
      <c r="M213" s="169">
        <v>0</v>
      </c>
      <c r="N213" s="169">
        <f t="shared" si="3"/>
        <v>345</v>
      </c>
      <c r="O213" s="173">
        <v>0</v>
      </c>
      <c r="P213" s="174"/>
      <c r="Q213" s="176" t="s">
        <v>1302</v>
      </c>
      <c r="R213" s="174" t="s">
        <v>42</v>
      </c>
      <c r="S213" s="178" t="s">
        <v>1303</v>
      </c>
      <c r="T213" s="174"/>
      <c r="U213" s="169" t="s">
        <v>1291</v>
      </c>
      <c r="V213" s="199" t="s">
        <v>1292</v>
      </c>
    </row>
    <row r="214" spans="2:22" ht="15" customHeight="1" x14ac:dyDescent="0.3">
      <c r="B214" s="22">
        <v>207</v>
      </c>
      <c r="C214" s="169" t="s">
        <v>14</v>
      </c>
      <c r="D214" s="146" t="s">
        <v>1353</v>
      </c>
      <c r="E214" s="146" t="s">
        <v>1354</v>
      </c>
      <c r="F214" s="146" t="s">
        <v>1355</v>
      </c>
      <c r="G214" s="146" t="s">
        <v>1356</v>
      </c>
      <c r="H214" s="146" t="s">
        <v>1357</v>
      </c>
      <c r="I214" s="146" t="s">
        <v>1358</v>
      </c>
      <c r="J214" s="147">
        <v>2017</v>
      </c>
      <c r="K214" s="146"/>
      <c r="L214" s="146">
        <v>290</v>
      </c>
      <c r="M214" s="146"/>
      <c r="N214" s="146"/>
      <c r="O214" s="33"/>
      <c r="P214" s="22"/>
      <c r="Q214" s="22" t="s">
        <v>1359</v>
      </c>
      <c r="R214" s="22" t="s">
        <v>42</v>
      </c>
      <c r="S214" s="8" t="s">
        <v>1360</v>
      </c>
      <c r="T214" s="22"/>
      <c r="U214" s="146" t="s">
        <v>1361</v>
      </c>
      <c r="V214" s="146" t="s">
        <v>1362</v>
      </c>
    </row>
    <row r="215" spans="2:22" ht="15" customHeight="1" x14ac:dyDescent="0.3">
      <c r="B215" s="22">
        <v>208</v>
      </c>
      <c r="C215" s="169" t="s">
        <v>14</v>
      </c>
      <c r="D215" s="146" t="s">
        <v>1353</v>
      </c>
      <c r="E215" s="147" t="s">
        <v>1363</v>
      </c>
      <c r="F215" s="147" t="s">
        <v>55</v>
      </c>
      <c r="G215" s="147" t="s">
        <v>1364</v>
      </c>
      <c r="H215" s="146" t="s">
        <v>1357</v>
      </c>
      <c r="I215" s="146" t="s">
        <v>1358</v>
      </c>
      <c r="J215" s="147">
        <v>1962</v>
      </c>
      <c r="K215" s="147"/>
      <c r="L215" s="147">
        <v>260</v>
      </c>
      <c r="M215" s="200">
        <v>2450</v>
      </c>
      <c r="N215" s="147"/>
      <c r="O215" s="34"/>
      <c r="P215" s="8"/>
      <c r="Q215" s="22" t="s">
        <v>1359</v>
      </c>
      <c r="R215" s="22" t="s">
        <v>42</v>
      </c>
      <c r="S215" s="8" t="s">
        <v>1360</v>
      </c>
      <c r="T215" s="8"/>
      <c r="U215" s="147" t="s">
        <v>1365</v>
      </c>
      <c r="V215" s="147" t="s">
        <v>1366</v>
      </c>
    </row>
    <row r="216" spans="2:22" ht="15" customHeight="1" x14ac:dyDescent="0.3">
      <c r="B216" s="22">
        <v>209</v>
      </c>
      <c r="C216" s="169" t="s">
        <v>14</v>
      </c>
      <c r="D216" s="148" t="s">
        <v>1367</v>
      </c>
      <c r="E216" s="148" t="s">
        <v>1368</v>
      </c>
      <c r="F216" s="148" t="s">
        <v>390</v>
      </c>
      <c r="G216" s="148" t="s">
        <v>1369</v>
      </c>
      <c r="H216" s="148" t="s">
        <v>1370</v>
      </c>
      <c r="I216" s="148" t="s">
        <v>51</v>
      </c>
      <c r="J216" s="148" t="s">
        <v>1371</v>
      </c>
      <c r="K216" s="201">
        <v>0</v>
      </c>
      <c r="L216" s="201">
        <v>20</v>
      </c>
      <c r="M216" s="201">
        <v>10</v>
      </c>
      <c r="N216" s="201">
        <v>30</v>
      </c>
      <c r="O216" s="202" t="s">
        <v>846</v>
      </c>
      <c r="P216" s="203"/>
      <c r="Q216" s="201" t="s">
        <v>1372</v>
      </c>
      <c r="R216" s="201"/>
      <c r="S216" s="201" t="s">
        <v>68</v>
      </c>
      <c r="T216" s="201" t="s">
        <v>68</v>
      </c>
      <c r="U216" s="148" t="s">
        <v>1373</v>
      </c>
      <c r="V216" s="148" t="s">
        <v>1374</v>
      </c>
    </row>
    <row r="217" spans="2:22" ht="15" customHeight="1" x14ac:dyDescent="0.3">
      <c r="B217" s="22">
        <v>210</v>
      </c>
      <c r="C217" s="169" t="s">
        <v>14</v>
      </c>
      <c r="D217" s="148" t="s">
        <v>1367</v>
      </c>
      <c r="E217" s="148" t="s">
        <v>1375</v>
      </c>
      <c r="F217" s="148" t="s">
        <v>106</v>
      </c>
      <c r="G217" s="148" t="s">
        <v>1376</v>
      </c>
      <c r="H217" s="148" t="s">
        <v>1377</v>
      </c>
      <c r="I217" s="148" t="s">
        <v>51</v>
      </c>
      <c r="J217" s="148" t="s">
        <v>1371</v>
      </c>
      <c r="K217" s="201">
        <v>0</v>
      </c>
      <c r="L217" s="201">
        <v>50</v>
      </c>
      <c r="M217" s="201">
        <v>0</v>
      </c>
      <c r="N217" s="201">
        <f>SUM(K217:M217)</f>
        <v>50</v>
      </c>
      <c r="O217" s="204">
        <v>5000</v>
      </c>
      <c r="P217" s="201"/>
      <c r="Q217" s="35" t="s">
        <v>1246</v>
      </c>
      <c r="R217" s="35" t="s">
        <v>1378</v>
      </c>
      <c r="S217" s="201" t="s">
        <v>1379</v>
      </c>
      <c r="T217" s="201" t="s">
        <v>68</v>
      </c>
      <c r="U217" s="148" t="s">
        <v>1380</v>
      </c>
      <c r="V217" s="148" t="s">
        <v>1381</v>
      </c>
    </row>
    <row r="218" spans="2:22" ht="15" customHeight="1" x14ac:dyDescent="0.3">
      <c r="B218" s="22">
        <v>211</v>
      </c>
      <c r="C218" s="169" t="s">
        <v>14</v>
      </c>
      <c r="D218" s="148" t="s">
        <v>1367</v>
      </c>
      <c r="E218" s="148" t="s">
        <v>1382</v>
      </c>
      <c r="F218" s="148" t="s">
        <v>1383</v>
      </c>
      <c r="G218" s="148" t="s">
        <v>1384</v>
      </c>
      <c r="H218" s="148" t="s">
        <v>1385</v>
      </c>
      <c r="I218" s="148" t="s">
        <v>67</v>
      </c>
      <c r="J218" s="148" t="s">
        <v>1386</v>
      </c>
      <c r="K218" s="201">
        <v>0</v>
      </c>
      <c r="L218" s="201">
        <v>250</v>
      </c>
      <c r="M218" s="201">
        <v>0</v>
      </c>
      <c r="N218" s="201">
        <f t="shared" ref="N218:N219" si="4">SUM(K218:M218)</f>
        <v>250</v>
      </c>
      <c r="O218" s="204">
        <v>128541</v>
      </c>
      <c r="P218" s="201"/>
      <c r="Q218" s="201" t="s">
        <v>1387</v>
      </c>
      <c r="R218" s="201" t="s">
        <v>173</v>
      </c>
      <c r="S218" s="201" t="s">
        <v>1379</v>
      </c>
      <c r="T218" s="201" t="s">
        <v>68</v>
      </c>
      <c r="U218" s="148" t="s">
        <v>1388</v>
      </c>
      <c r="V218" s="148" t="s">
        <v>1389</v>
      </c>
    </row>
    <row r="219" spans="2:22" ht="15" customHeight="1" x14ac:dyDescent="0.3">
      <c r="B219" s="22">
        <v>212</v>
      </c>
      <c r="C219" s="169" t="s">
        <v>14</v>
      </c>
      <c r="D219" s="148" t="s">
        <v>1367</v>
      </c>
      <c r="E219" s="148" t="s">
        <v>1390</v>
      </c>
      <c r="F219" s="148" t="s">
        <v>1383</v>
      </c>
      <c r="G219" s="148" t="s">
        <v>1391</v>
      </c>
      <c r="H219" s="148" t="s">
        <v>1392</v>
      </c>
      <c r="I219" s="148" t="s">
        <v>67</v>
      </c>
      <c r="J219" s="148" t="s">
        <v>1386</v>
      </c>
      <c r="K219" s="201">
        <v>0</v>
      </c>
      <c r="L219" s="201">
        <v>250</v>
      </c>
      <c r="M219" s="201">
        <v>0</v>
      </c>
      <c r="N219" s="201">
        <f t="shared" si="4"/>
        <v>250</v>
      </c>
      <c r="O219" s="204">
        <v>160128</v>
      </c>
      <c r="P219" s="201"/>
      <c r="Q219" s="201" t="s">
        <v>1393</v>
      </c>
      <c r="R219" s="201" t="s">
        <v>1394</v>
      </c>
      <c r="S219" s="201" t="s">
        <v>1379</v>
      </c>
      <c r="T219" s="201" t="s">
        <v>68</v>
      </c>
      <c r="U219" s="148" t="s">
        <v>1395</v>
      </c>
      <c r="V219" s="148" t="s">
        <v>1396</v>
      </c>
    </row>
    <row r="220" spans="2:22" ht="15" customHeight="1" x14ac:dyDescent="0.3">
      <c r="B220" s="22">
        <v>213</v>
      </c>
      <c r="C220" s="169" t="s">
        <v>14</v>
      </c>
      <c r="D220" s="36" t="s">
        <v>1367</v>
      </c>
      <c r="E220" s="36" t="s">
        <v>1397</v>
      </c>
      <c r="F220" s="36" t="s">
        <v>35</v>
      </c>
      <c r="G220" s="36" t="s">
        <v>1398</v>
      </c>
      <c r="H220" s="36" t="s">
        <v>1399</v>
      </c>
      <c r="I220" s="36" t="s">
        <v>51</v>
      </c>
      <c r="J220" s="36" t="s">
        <v>1296</v>
      </c>
      <c r="K220" s="35">
        <v>0</v>
      </c>
      <c r="L220" s="35">
        <v>80</v>
      </c>
      <c r="M220" s="35">
        <v>0</v>
      </c>
      <c r="N220" s="35">
        <v>80</v>
      </c>
      <c r="O220" s="202" t="s">
        <v>846</v>
      </c>
      <c r="P220" s="203"/>
      <c r="Q220" s="35" t="s">
        <v>1246</v>
      </c>
      <c r="R220" s="35" t="s">
        <v>1378</v>
      </c>
      <c r="S220" s="35" t="s">
        <v>68</v>
      </c>
      <c r="T220" s="35" t="s">
        <v>68</v>
      </c>
      <c r="U220" s="36" t="s">
        <v>1380</v>
      </c>
      <c r="V220" s="36" t="s">
        <v>1400</v>
      </c>
    </row>
    <row r="221" spans="2:22" ht="15" customHeight="1" x14ac:dyDescent="0.3">
      <c r="B221" s="22">
        <v>214</v>
      </c>
      <c r="C221" s="169" t="s">
        <v>14</v>
      </c>
      <c r="D221" s="205" t="s">
        <v>1401</v>
      </c>
      <c r="E221" s="205" t="s">
        <v>1402</v>
      </c>
      <c r="F221" s="205" t="s">
        <v>95</v>
      </c>
      <c r="G221" s="206" t="s">
        <v>846</v>
      </c>
      <c r="H221" s="206" t="s">
        <v>1403</v>
      </c>
      <c r="I221" s="205" t="s">
        <v>51</v>
      </c>
      <c r="J221" s="205">
        <v>2009</v>
      </c>
      <c r="K221" s="205">
        <v>0</v>
      </c>
      <c r="L221" s="205">
        <v>150</v>
      </c>
      <c r="M221" s="205">
        <v>0</v>
      </c>
      <c r="N221" s="205">
        <v>150</v>
      </c>
      <c r="O221" s="202" t="s">
        <v>846</v>
      </c>
      <c r="P221" s="36">
        <v>0</v>
      </c>
      <c r="Q221" s="5" t="s">
        <v>1404</v>
      </c>
      <c r="R221" s="36" t="s">
        <v>42</v>
      </c>
      <c r="S221" s="5" t="s">
        <v>1405</v>
      </c>
      <c r="T221" s="36" t="s">
        <v>68</v>
      </c>
      <c r="U221" s="205" t="s">
        <v>1406</v>
      </c>
      <c r="V221" s="205" t="s">
        <v>1407</v>
      </c>
    </row>
    <row r="222" spans="2:22" ht="15" customHeight="1" x14ac:dyDescent="0.3">
      <c r="B222" s="22">
        <v>215</v>
      </c>
      <c r="C222" s="169" t="s">
        <v>14</v>
      </c>
      <c r="D222" s="205" t="s">
        <v>1401</v>
      </c>
      <c r="E222" s="205" t="s">
        <v>1408</v>
      </c>
      <c r="F222" s="205" t="s">
        <v>95</v>
      </c>
      <c r="G222" s="206" t="s">
        <v>1409</v>
      </c>
      <c r="H222" s="207" t="s">
        <v>1410</v>
      </c>
      <c r="I222" s="205" t="s">
        <v>51</v>
      </c>
      <c r="J222" s="205">
        <v>2012</v>
      </c>
      <c r="K222" s="205">
        <v>0</v>
      </c>
      <c r="L222" s="205">
        <v>90</v>
      </c>
      <c r="M222" s="205">
        <v>0</v>
      </c>
      <c r="N222" s="205">
        <v>90</v>
      </c>
      <c r="O222" s="202" t="s">
        <v>846</v>
      </c>
      <c r="P222" s="36">
        <v>0</v>
      </c>
      <c r="Q222" s="5" t="s">
        <v>1404</v>
      </c>
      <c r="R222" s="36" t="s">
        <v>42</v>
      </c>
      <c r="S222" s="5" t="s">
        <v>1405</v>
      </c>
      <c r="T222" s="36" t="s">
        <v>68</v>
      </c>
      <c r="U222" s="205" t="s">
        <v>1406</v>
      </c>
      <c r="V222" s="205" t="s">
        <v>1407</v>
      </c>
    </row>
    <row r="223" spans="2:22" ht="15" customHeight="1" x14ac:dyDescent="0.3">
      <c r="B223" s="22">
        <v>216</v>
      </c>
      <c r="C223" s="169" t="s">
        <v>14</v>
      </c>
      <c r="D223" s="1" t="s">
        <v>1401</v>
      </c>
      <c r="E223" s="1" t="s">
        <v>1411</v>
      </c>
      <c r="F223" s="1" t="s">
        <v>106</v>
      </c>
      <c r="G223" s="1" t="s">
        <v>1412</v>
      </c>
      <c r="H223" s="145" t="s">
        <v>1413</v>
      </c>
      <c r="I223" s="1" t="s">
        <v>51</v>
      </c>
      <c r="J223" s="145" t="s">
        <v>1414</v>
      </c>
      <c r="K223" s="1">
        <v>0</v>
      </c>
      <c r="L223" s="1">
        <v>90</v>
      </c>
      <c r="M223" s="1">
        <v>0</v>
      </c>
      <c r="N223" s="1">
        <v>90</v>
      </c>
      <c r="O223" s="202" t="s">
        <v>846</v>
      </c>
      <c r="P223" s="36">
        <v>0</v>
      </c>
      <c r="Q223" s="5" t="s">
        <v>1404</v>
      </c>
      <c r="R223" s="36" t="s">
        <v>42</v>
      </c>
      <c r="S223" s="5" t="s">
        <v>1405</v>
      </c>
      <c r="T223" s="148" t="s">
        <v>68</v>
      </c>
      <c r="U223" s="205" t="s">
        <v>1406</v>
      </c>
      <c r="V223" s="205" t="s">
        <v>1407</v>
      </c>
    </row>
    <row r="224" spans="2:22" ht="15" customHeight="1" x14ac:dyDescent="0.3">
      <c r="B224" s="22">
        <v>217</v>
      </c>
      <c r="C224" s="169" t="s">
        <v>14</v>
      </c>
      <c r="D224" s="208" t="s">
        <v>1401</v>
      </c>
      <c r="E224" s="209" t="s">
        <v>1415</v>
      </c>
      <c r="F224" s="208" t="s">
        <v>50</v>
      </c>
      <c r="G224" s="209" t="s">
        <v>1416</v>
      </c>
      <c r="H224" s="209" t="s">
        <v>1417</v>
      </c>
      <c r="I224" s="208" t="s">
        <v>51</v>
      </c>
      <c r="J224" s="208">
        <v>2017</v>
      </c>
      <c r="K224" s="208">
        <v>83</v>
      </c>
      <c r="L224" s="208">
        <v>37</v>
      </c>
      <c r="M224" s="208">
        <v>170</v>
      </c>
      <c r="N224" s="208">
        <v>290</v>
      </c>
      <c r="O224" s="202" t="s">
        <v>846</v>
      </c>
      <c r="P224" s="210">
        <v>0</v>
      </c>
      <c r="Q224" s="210" t="s">
        <v>1404</v>
      </c>
      <c r="R224" s="210" t="s">
        <v>42</v>
      </c>
      <c r="S224" s="7" t="s">
        <v>1405</v>
      </c>
      <c r="T224" s="210" t="s">
        <v>1418</v>
      </c>
      <c r="U224" s="208" t="s">
        <v>766</v>
      </c>
      <c r="V224" s="208" t="s">
        <v>1419</v>
      </c>
    </row>
    <row r="225" spans="2:22" ht="15" customHeight="1" x14ac:dyDescent="0.3">
      <c r="B225" s="22">
        <v>218</v>
      </c>
      <c r="C225" s="169" t="s">
        <v>14</v>
      </c>
      <c r="D225" s="1" t="s">
        <v>1401</v>
      </c>
      <c r="E225" s="1" t="s">
        <v>1420</v>
      </c>
      <c r="F225" s="1" t="s">
        <v>55</v>
      </c>
      <c r="G225" s="1" t="s">
        <v>1421</v>
      </c>
      <c r="H225" s="145" t="s">
        <v>1422</v>
      </c>
      <c r="I225" s="1" t="s">
        <v>51</v>
      </c>
      <c r="J225" s="1">
        <v>1997</v>
      </c>
      <c r="K225" s="1">
        <v>0</v>
      </c>
      <c r="L225" s="211">
        <v>1800</v>
      </c>
      <c r="M225" s="1">
        <v>0</v>
      </c>
      <c r="N225" s="211">
        <v>1800</v>
      </c>
      <c r="O225" s="202" t="s">
        <v>846</v>
      </c>
      <c r="P225" s="36">
        <v>0</v>
      </c>
      <c r="Q225" s="5" t="s">
        <v>1404</v>
      </c>
      <c r="R225" s="36" t="s">
        <v>42</v>
      </c>
      <c r="S225" s="5" t="s">
        <v>1405</v>
      </c>
      <c r="T225" s="148" t="s">
        <v>68</v>
      </c>
      <c r="U225" s="205" t="s">
        <v>1423</v>
      </c>
      <c r="V225" s="205" t="s">
        <v>1424</v>
      </c>
    </row>
    <row r="226" spans="2:22" ht="15" customHeight="1" x14ac:dyDescent="0.3">
      <c r="B226" s="22">
        <v>219</v>
      </c>
      <c r="C226" s="169" t="s">
        <v>14</v>
      </c>
      <c r="D226" s="146" t="s">
        <v>1425</v>
      </c>
      <c r="E226" s="212" t="s">
        <v>1426</v>
      </c>
      <c r="F226" s="212" t="s">
        <v>55</v>
      </c>
      <c r="G226" s="212" t="s">
        <v>1427</v>
      </c>
      <c r="H226" s="212" t="s">
        <v>1428</v>
      </c>
      <c r="I226" s="1" t="s">
        <v>51</v>
      </c>
      <c r="J226" s="212" t="s">
        <v>744</v>
      </c>
      <c r="K226" s="212">
        <v>0</v>
      </c>
      <c r="L226" s="212">
        <v>50</v>
      </c>
      <c r="M226" s="212">
        <v>0</v>
      </c>
      <c r="N226" s="212">
        <v>50</v>
      </c>
      <c r="O226" s="37">
        <v>2000</v>
      </c>
      <c r="P226" s="5">
        <v>0</v>
      </c>
      <c r="Q226" s="5" t="s">
        <v>1429</v>
      </c>
      <c r="R226" s="38"/>
      <c r="S226" s="38"/>
      <c r="T226" s="38"/>
      <c r="U226" s="205" t="s">
        <v>1430</v>
      </c>
      <c r="V226" s="205" t="s">
        <v>1431</v>
      </c>
    </row>
    <row r="227" spans="2:22" ht="15" customHeight="1" x14ac:dyDescent="0.3">
      <c r="B227" s="22">
        <v>220</v>
      </c>
      <c r="C227" s="169" t="s">
        <v>14</v>
      </c>
      <c r="D227" s="1" t="s">
        <v>1425</v>
      </c>
      <c r="E227" s="1" t="s">
        <v>1432</v>
      </c>
      <c r="F227" s="212" t="s">
        <v>55</v>
      </c>
      <c r="G227" s="1" t="s">
        <v>1433</v>
      </c>
      <c r="H227" s="1" t="s">
        <v>1434</v>
      </c>
      <c r="I227" s="1" t="s">
        <v>51</v>
      </c>
      <c r="J227" s="1" t="s">
        <v>1435</v>
      </c>
      <c r="K227" s="1">
        <v>500</v>
      </c>
      <c r="L227" s="1">
        <v>160</v>
      </c>
      <c r="M227" s="213" t="s">
        <v>296</v>
      </c>
      <c r="N227" s="1">
        <v>660</v>
      </c>
      <c r="O227" s="204">
        <v>50000</v>
      </c>
      <c r="P227" s="214">
        <v>0</v>
      </c>
      <c r="Q227" s="214" t="s">
        <v>296</v>
      </c>
      <c r="R227" s="214" t="s">
        <v>296</v>
      </c>
      <c r="S227" s="214" t="s">
        <v>296</v>
      </c>
      <c r="T227" s="148" t="s">
        <v>1436</v>
      </c>
      <c r="U227" s="1" t="s">
        <v>1437</v>
      </c>
      <c r="V227" s="1" t="s">
        <v>1438</v>
      </c>
    </row>
    <row r="228" spans="2:22" ht="15" customHeight="1" x14ac:dyDescent="0.3">
      <c r="B228" s="22">
        <v>221</v>
      </c>
      <c r="C228" s="169" t="s">
        <v>14</v>
      </c>
      <c r="D228" s="1" t="s">
        <v>1425</v>
      </c>
      <c r="E228" s="1" t="s">
        <v>1439</v>
      </c>
      <c r="F228" s="212" t="s">
        <v>55</v>
      </c>
      <c r="G228" s="1" t="s">
        <v>1440</v>
      </c>
      <c r="H228" s="1" t="s">
        <v>1434</v>
      </c>
      <c r="I228" s="1" t="s">
        <v>51</v>
      </c>
      <c r="J228" s="1" t="s">
        <v>1441</v>
      </c>
      <c r="K228" s="1"/>
      <c r="L228" s="1">
        <v>60</v>
      </c>
      <c r="M228" s="213"/>
      <c r="N228" s="1">
        <v>60</v>
      </c>
      <c r="O228" s="204">
        <v>1000</v>
      </c>
      <c r="P228" s="214"/>
      <c r="Q228" s="214" t="s">
        <v>420</v>
      </c>
      <c r="R228" s="214"/>
      <c r="S228" s="214"/>
      <c r="T228" s="148"/>
      <c r="U228" s="1" t="s">
        <v>1442</v>
      </c>
      <c r="V228" s="1" t="s">
        <v>1443</v>
      </c>
    </row>
    <row r="229" spans="2:22" ht="15" customHeight="1" x14ac:dyDescent="0.3">
      <c r="B229" s="22">
        <v>222</v>
      </c>
      <c r="C229" s="169" t="s">
        <v>14</v>
      </c>
      <c r="D229" s="1" t="s">
        <v>1425</v>
      </c>
      <c r="E229" s="146" t="s">
        <v>1444</v>
      </c>
      <c r="F229" s="215" t="s">
        <v>1445</v>
      </c>
      <c r="G229" s="215" t="s">
        <v>1446</v>
      </c>
      <c r="H229" s="215" t="s">
        <v>1434</v>
      </c>
      <c r="I229" s="1" t="s">
        <v>51</v>
      </c>
      <c r="J229" s="146" t="s">
        <v>1435</v>
      </c>
      <c r="K229" s="146">
        <v>0</v>
      </c>
      <c r="L229" s="146">
        <v>80</v>
      </c>
      <c r="M229" s="146">
        <v>0</v>
      </c>
      <c r="N229" s="146">
        <v>80</v>
      </c>
      <c r="O229" s="33">
        <v>1000</v>
      </c>
      <c r="P229" s="22">
        <v>0</v>
      </c>
      <c r="Q229" s="8" t="s">
        <v>1447</v>
      </c>
      <c r="R229" s="22" t="s">
        <v>1448</v>
      </c>
      <c r="S229" s="8"/>
      <c r="T229" s="8"/>
      <c r="U229" s="147" t="s">
        <v>1449</v>
      </c>
      <c r="V229" s="147" t="s">
        <v>1450</v>
      </c>
    </row>
    <row r="230" spans="2:22" ht="15" customHeight="1" x14ac:dyDescent="0.3">
      <c r="B230" s="22">
        <v>223</v>
      </c>
      <c r="C230" s="169" t="s">
        <v>14</v>
      </c>
      <c r="D230" s="146" t="s">
        <v>1451</v>
      </c>
      <c r="E230" s="146" t="s">
        <v>1452</v>
      </c>
      <c r="F230" s="215" t="s">
        <v>390</v>
      </c>
      <c r="G230" s="146" t="s">
        <v>167</v>
      </c>
      <c r="H230" s="146" t="s">
        <v>1453</v>
      </c>
      <c r="I230" s="215" t="s">
        <v>67</v>
      </c>
      <c r="J230" s="146" t="s">
        <v>40</v>
      </c>
      <c r="K230" s="146"/>
      <c r="L230" s="146">
        <v>720</v>
      </c>
      <c r="M230" s="146"/>
      <c r="N230" s="146">
        <v>720</v>
      </c>
      <c r="O230" s="33">
        <v>364000</v>
      </c>
      <c r="P230" s="23">
        <v>1082</v>
      </c>
      <c r="Q230" s="8" t="s">
        <v>1454</v>
      </c>
      <c r="R230" s="22" t="s">
        <v>42</v>
      </c>
      <c r="S230" s="8" t="s">
        <v>68</v>
      </c>
      <c r="T230" s="22"/>
      <c r="U230" s="147" t="s">
        <v>1455</v>
      </c>
      <c r="V230" s="147"/>
    </row>
    <row r="231" spans="2:22" ht="15" customHeight="1" x14ac:dyDescent="0.3">
      <c r="B231" s="22">
        <v>224</v>
      </c>
      <c r="C231" s="169" t="s">
        <v>14</v>
      </c>
      <c r="D231" s="146" t="s">
        <v>1451</v>
      </c>
      <c r="E231" s="147" t="s">
        <v>1456</v>
      </c>
      <c r="F231" s="147" t="s">
        <v>55</v>
      </c>
      <c r="G231" s="147" t="s">
        <v>178</v>
      </c>
      <c r="H231" s="147" t="s">
        <v>1457</v>
      </c>
      <c r="I231" s="147" t="s">
        <v>67</v>
      </c>
      <c r="J231" s="147" t="s">
        <v>1458</v>
      </c>
      <c r="K231" s="147"/>
      <c r="L231" s="147">
        <v>480</v>
      </c>
      <c r="M231" s="147"/>
      <c r="N231" s="147">
        <v>480</v>
      </c>
      <c r="O231" s="34">
        <v>107000</v>
      </c>
      <c r="P231" s="8">
        <v>515</v>
      </c>
      <c r="Q231" s="8" t="s">
        <v>1459</v>
      </c>
      <c r="R231" s="8" t="s">
        <v>42</v>
      </c>
      <c r="S231" s="8" t="s">
        <v>1460</v>
      </c>
      <c r="T231" s="8"/>
      <c r="U231" s="147" t="s">
        <v>1455</v>
      </c>
      <c r="V231" s="147"/>
    </row>
    <row r="232" spans="2:22" ht="15" customHeight="1" x14ac:dyDescent="0.3">
      <c r="B232" s="22">
        <v>225</v>
      </c>
      <c r="C232" s="169" t="s">
        <v>14</v>
      </c>
      <c r="D232" s="146" t="s">
        <v>1451</v>
      </c>
      <c r="E232" s="147" t="s">
        <v>1461</v>
      </c>
      <c r="F232" s="147" t="s">
        <v>95</v>
      </c>
      <c r="G232" s="147" t="s">
        <v>178</v>
      </c>
      <c r="H232" s="147" t="s">
        <v>1462</v>
      </c>
      <c r="I232" s="147" t="s">
        <v>67</v>
      </c>
      <c r="J232" s="147" t="s">
        <v>1463</v>
      </c>
      <c r="K232" s="147"/>
      <c r="L232" s="147">
        <v>160</v>
      </c>
      <c r="M232" s="147"/>
      <c r="N232" s="147">
        <v>160</v>
      </c>
      <c r="O232" s="34">
        <v>17700</v>
      </c>
      <c r="P232" s="8">
        <v>44</v>
      </c>
      <c r="Q232" s="8" t="s">
        <v>1459</v>
      </c>
      <c r="R232" s="8" t="s">
        <v>42</v>
      </c>
      <c r="S232" s="8" t="s">
        <v>1460</v>
      </c>
      <c r="T232" s="8"/>
      <c r="U232" s="147" t="s">
        <v>1455</v>
      </c>
      <c r="V232" s="147"/>
    </row>
    <row r="233" spans="2:22" ht="15" customHeight="1" x14ac:dyDescent="0.3">
      <c r="B233" s="22">
        <v>226</v>
      </c>
      <c r="C233" s="169" t="s">
        <v>14</v>
      </c>
      <c r="D233" s="146" t="s">
        <v>1451</v>
      </c>
      <c r="E233" s="147" t="s">
        <v>1464</v>
      </c>
      <c r="F233" s="147" t="s">
        <v>390</v>
      </c>
      <c r="G233" s="147" t="s">
        <v>1465</v>
      </c>
      <c r="H233" s="147" t="s">
        <v>1466</v>
      </c>
      <c r="I233" s="147" t="s">
        <v>67</v>
      </c>
      <c r="J233" s="147" t="s">
        <v>1467</v>
      </c>
      <c r="K233" s="147"/>
      <c r="L233" s="147">
        <v>200</v>
      </c>
      <c r="M233" s="147"/>
      <c r="N233" s="147">
        <v>200</v>
      </c>
      <c r="O233" s="34">
        <v>84000</v>
      </c>
      <c r="P233" s="8"/>
      <c r="Q233" s="8" t="s">
        <v>1459</v>
      </c>
      <c r="R233" s="8" t="s">
        <v>42</v>
      </c>
      <c r="S233" s="8" t="s">
        <v>1460</v>
      </c>
      <c r="T233" s="8"/>
      <c r="U233" s="147" t="s">
        <v>1455</v>
      </c>
      <c r="V233" s="147"/>
    </row>
    <row r="234" spans="2:22" ht="15" customHeight="1" x14ac:dyDescent="0.3">
      <c r="B234" s="22">
        <v>227</v>
      </c>
      <c r="C234" s="169" t="s">
        <v>14</v>
      </c>
      <c r="D234" s="146" t="s">
        <v>1451</v>
      </c>
      <c r="E234" s="147" t="s">
        <v>1468</v>
      </c>
      <c r="F234" s="147" t="s">
        <v>50</v>
      </c>
      <c r="G234" s="147" t="s">
        <v>167</v>
      </c>
      <c r="H234" s="147" t="s">
        <v>1469</v>
      </c>
      <c r="I234" s="147" t="s">
        <v>67</v>
      </c>
      <c r="J234" s="147" t="s">
        <v>1467</v>
      </c>
      <c r="K234" s="147"/>
      <c r="L234" s="147">
        <v>72</v>
      </c>
      <c r="M234" s="147"/>
      <c r="N234" s="147">
        <v>72</v>
      </c>
      <c r="O234" s="34">
        <v>11598</v>
      </c>
      <c r="P234" s="8"/>
      <c r="Q234" s="8" t="s">
        <v>1459</v>
      </c>
      <c r="R234" s="8" t="s">
        <v>42</v>
      </c>
      <c r="S234" s="8" t="s">
        <v>1460</v>
      </c>
      <c r="T234" s="8"/>
      <c r="U234" s="147" t="s">
        <v>1455</v>
      </c>
      <c r="V234" s="147"/>
    </row>
    <row r="235" spans="2:22" ht="15" customHeight="1" x14ac:dyDescent="0.3">
      <c r="B235" s="22">
        <v>228</v>
      </c>
      <c r="C235" s="169" t="s">
        <v>14</v>
      </c>
      <c r="D235" s="1" t="s">
        <v>1470</v>
      </c>
      <c r="E235" s="216" t="s">
        <v>1471</v>
      </c>
      <c r="F235" s="1" t="s">
        <v>35</v>
      </c>
      <c r="G235" s="1" t="s">
        <v>422</v>
      </c>
      <c r="H235" s="1" t="s">
        <v>1472</v>
      </c>
      <c r="I235" s="1" t="s">
        <v>67</v>
      </c>
      <c r="J235" s="1">
        <v>2004</v>
      </c>
      <c r="K235" s="1"/>
      <c r="L235" s="1">
        <v>280</v>
      </c>
      <c r="M235" s="1"/>
      <c r="N235" s="1">
        <v>280</v>
      </c>
      <c r="O235" s="204" t="s">
        <v>1473</v>
      </c>
      <c r="P235" s="148"/>
      <c r="Q235" s="217" t="s">
        <v>1474</v>
      </c>
      <c r="R235" s="148" t="s">
        <v>1475</v>
      </c>
      <c r="S235" s="148" t="s">
        <v>1476</v>
      </c>
      <c r="T235" s="148"/>
      <c r="U235" s="1" t="s">
        <v>1477</v>
      </c>
      <c r="V235" s="1" t="s">
        <v>1478</v>
      </c>
    </row>
    <row r="236" spans="2:22" ht="15" customHeight="1" x14ac:dyDescent="0.3">
      <c r="B236" s="22">
        <v>229</v>
      </c>
      <c r="C236" s="169" t="s">
        <v>14</v>
      </c>
      <c r="D236" s="1" t="s">
        <v>1470</v>
      </c>
      <c r="E236" s="216" t="s">
        <v>1479</v>
      </c>
      <c r="F236" s="1" t="s">
        <v>243</v>
      </c>
      <c r="G236" s="1" t="s">
        <v>420</v>
      </c>
      <c r="H236" s="1" t="s">
        <v>420</v>
      </c>
      <c r="I236" s="1" t="s">
        <v>420</v>
      </c>
      <c r="J236" s="218">
        <v>1974</v>
      </c>
      <c r="K236" s="1"/>
      <c r="L236" s="1">
        <v>200</v>
      </c>
      <c r="M236" s="1"/>
      <c r="N236" s="1">
        <v>200</v>
      </c>
      <c r="O236" s="204">
        <v>500</v>
      </c>
      <c r="P236" s="148"/>
      <c r="Q236" s="217" t="s">
        <v>1480</v>
      </c>
      <c r="R236" s="148" t="s">
        <v>395</v>
      </c>
      <c r="S236" s="219" t="s">
        <v>1481</v>
      </c>
      <c r="T236" s="148"/>
      <c r="U236" s="1" t="s">
        <v>1482</v>
      </c>
      <c r="V236" s="1" t="s">
        <v>1483</v>
      </c>
    </row>
    <row r="237" spans="2:22" ht="15" customHeight="1" x14ac:dyDescent="0.3">
      <c r="B237" s="22">
        <v>230</v>
      </c>
      <c r="C237" s="169" t="s">
        <v>14</v>
      </c>
      <c r="D237" s="1" t="s">
        <v>1470</v>
      </c>
      <c r="E237" s="216" t="s">
        <v>1484</v>
      </c>
      <c r="F237" s="1" t="s">
        <v>461</v>
      </c>
      <c r="G237" s="1" t="s">
        <v>420</v>
      </c>
      <c r="H237" s="1" t="s">
        <v>1485</v>
      </c>
      <c r="I237" s="1" t="s">
        <v>420</v>
      </c>
      <c r="J237" s="1">
        <v>2003</v>
      </c>
      <c r="K237" s="1"/>
      <c r="L237" s="1">
        <v>550</v>
      </c>
      <c r="M237" s="1"/>
      <c r="N237" s="1">
        <v>550</v>
      </c>
      <c r="O237" s="204" t="s">
        <v>1486</v>
      </c>
      <c r="P237" s="148"/>
      <c r="Q237" s="217" t="s">
        <v>1487</v>
      </c>
      <c r="R237" s="148" t="s">
        <v>1475</v>
      </c>
      <c r="S237" s="220" t="s">
        <v>1488</v>
      </c>
      <c r="T237" s="148"/>
      <c r="U237" s="1" t="s">
        <v>1489</v>
      </c>
      <c r="V237" s="1" t="s">
        <v>1490</v>
      </c>
    </row>
    <row r="238" spans="2:22" ht="15" customHeight="1" x14ac:dyDescent="0.3">
      <c r="B238" s="22">
        <v>231</v>
      </c>
      <c r="C238" s="169" t="s">
        <v>14</v>
      </c>
      <c r="D238" s="1" t="s">
        <v>1470</v>
      </c>
      <c r="E238" s="216" t="s">
        <v>1491</v>
      </c>
      <c r="F238" s="1" t="s">
        <v>390</v>
      </c>
      <c r="G238" s="1" t="s">
        <v>422</v>
      </c>
      <c r="H238" s="1" t="s">
        <v>422</v>
      </c>
      <c r="I238" s="145" t="s">
        <v>67</v>
      </c>
      <c r="J238" s="1">
        <v>1998</v>
      </c>
      <c r="K238" s="1"/>
      <c r="L238" s="1">
        <v>270</v>
      </c>
      <c r="M238" s="1"/>
      <c r="N238" s="1">
        <v>270</v>
      </c>
      <c r="O238" s="204" t="s">
        <v>846</v>
      </c>
      <c r="P238" s="148"/>
      <c r="Q238" s="217" t="s">
        <v>1492</v>
      </c>
      <c r="R238" s="148" t="s">
        <v>1475</v>
      </c>
      <c r="S238" s="220" t="s">
        <v>1488</v>
      </c>
      <c r="T238" s="148"/>
      <c r="U238" s="1" t="s">
        <v>1493</v>
      </c>
      <c r="V238" s="1" t="s">
        <v>1494</v>
      </c>
    </row>
    <row r="239" spans="2:22" ht="15" customHeight="1" x14ac:dyDescent="0.3">
      <c r="B239" s="22">
        <v>232</v>
      </c>
      <c r="C239" s="169" t="s">
        <v>14</v>
      </c>
      <c r="D239" s="1" t="s">
        <v>1470</v>
      </c>
      <c r="E239" s="216" t="s">
        <v>1495</v>
      </c>
      <c r="F239" s="1" t="s">
        <v>461</v>
      </c>
      <c r="G239" s="1" t="s">
        <v>420</v>
      </c>
      <c r="H239" s="1" t="s">
        <v>1496</v>
      </c>
      <c r="I239" s="1" t="s">
        <v>420</v>
      </c>
      <c r="J239" s="1">
        <v>2013</v>
      </c>
      <c r="K239" s="1"/>
      <c r="L239" s="1">
        <v>90</v>
      </c>
      <c r="M239" s="1"/>
      <c r="N239" s="1">
        <v>90</v>
      </c>
      <c r="O239" s="204" t="s">
        <v>1486</v>
      </c>
      <c r="P239" s="148"/>
      <c r="Q239" s="217" t="s">
        <v>1497</v>
      </c>
      <c r="R239" s="148" t="s">
        <v>533</v>
      </c>
      <c r="S239" s="220" t="s">
        <v>1488</v>
      </c>
      <c r="T239" s="148"/>
      <c r="U239" s="1" t="s">
        <v>1498</v>
      </c>
      <c r="V239" s="1" t="s">
        <v>1499</v>
      </c>
    </row>
    <row r="240" spans="2:22" ht="15" customHeight="1" x14ac:dyDescent="0.3">
      <c r="B240" s="22">
        <v>233</v>
      </c>
      <c r="C240" s="169" t="s">
        <v>14</v>
      </c>
      <c r="D240" s="146" t="s">
        <v>1500</v>
      </c>
      <c r="E240" s="146" t="s">
        <v>1501</v>
      </c>
      <c r="F240" s="215" t="s">
        <v>55</v>
      </c>
      <c r="G240" s="146" t="s">
        <v>1502</v>
      </c>
      <c r="H240" s="221" t="s">
        <v>1503</v>
      </c>
      <c r="I240" s="1" t="s">
        <v>51</v>
      </c>
      <c r="J240" s="146">
        <v>2022</v>
      </c>
      <c r="K240" s="146">
        <v>0</v>
      </c>
      <c r="L240" s="146">
        <v>800</v>
      </c>
      <c r="M240" s="146">
        <v>0</v>
      </c>
      <c r="N240" s="146">
        <v>800</v>
      </c>
      <c r="O240" s="33">
        <v>0</v>
      </c>
      <c r="P240" s="22">
        <v>0</v>
      </c>
      <c r="Q240" s="22" t="s">
        <v>1504</v>
      </c>
      <c r="R240" s="22" t="s">
        <v>1259</v>
      </c>
      <c r="S240" s="8" t="s">
        <v>1505</v>
      </c>
      <c r="T240" s="22"/>
      <c r="U240" s="147" t="s">
        <v>1506</v>
      </c>
      <c r="V240" s="147" t="s">
        <v>1507</v>
      </c>
    </row>
    <row r="241" spans="2:22" ht="15" customHeight="1" x14ac:dyDescent="0.3">
      <c r="B241" s="22">
        <v>234</v>
      </c>
      <c r="C241" s="169" t="s">
        <v>14</v>
      </c>
      <c r="D241" s="222" t="s">
        <v>1508</v>
      </c>
      <c r="E241" s="223" t="s">
        <v>1509</v>
      </c>
      <c r="F241" s="1" t="s">
        <v>55</v>
      </c>
      <c r="G241" s="1" t="s">
        <v>1232</v>
      </c>
      <c r="H241" s="148" t="s">
        <v>1510</v>
      </c>
      <c r="I241" s="1" t="s">
        <v>67</v>
      </c>
      <c r="J241" s="1">
        <v>1999</v>
      </c>
      <c r="K241" s="1"/>
      <c r="L241" s="211">
        <v>1000</v>
      </c>
      <c r="M241" s="1"/>
      <c r="N241" s="211">
        <v>1000</v>
      </c>
      <c r="O241" s="204">
        <v>7639</v>
      </c>
      <c r="P241" s="148"/>
      <c r="Q241" s="148" t="s">
        <v>1511</v>
      </c>
      <c r="R241" s="148" t="s">
        <v>42</v>
      </c>
      <c r="S241" s="148" t="s">
        <v>1512</v>
      </c>
      <c r="T241" s="148"/>
      <c r="U241" s="1" t="s">
        <v>1513</v>
      </c>
      <c r="V241" s="148" t="s">
        <v>1514</v>
      </c>
    </row>
    <row r="242" spans="2:22" ht="15" customHeight="1" x14ac:dyDescent="0.3">
      <c r="B242" s="22">
        <v>235</v>
      </c>
      <c r="C242" s="169" t="s">
        <v>14</v>
      </c>
      <c r="D242" s="222" t="s">
        <v>1508</v>
      </c>
      <c r="E242" s="223" t="s">
        <v>1515</v>
      </c>
      <c r="F242" s="1" t="s">
        <v>390</v>
      </c>
      <c r="G242" s="1" t="s">
        <v>440</v>
      </c>
      <c r="H242" s="148" t="s">
        <v>1510</v>
      </c>
      <c r="I242" s="1" t="s">
        <v>67</v>
      </c>
      <c r="J242" s="1">
        <v>2006</v>
      </c>
      <c r="K242" s="1"/>
      <c r="L242" s="1">
        <v>360</v>
      </c>
      <c r="M242" s="1"/>
      <c r="N242" s="1">
        <v>360</v>
      </c>
      <c r="O242" s="204" t="s">
        <v>869</v>
      </c>
      <c r="P242" s="148"/>
      <c r="Q242" s="148" t="s">
        <v>1511</v>
      </c>
      <c r="R242" s="148" t="s">
        <v>42</v>
      </c>
      <c r="S242" s="148" t="s">
        <v>1512</v>
      </c>
      <c r="T242" s="148"/>
      <c r="U242" s="1" t="s">
        <v>1516</v>
      </c>
      <c r="V242" s="148" t="s">
        <v>1517</v>
      </c>
    </row>
    <row r="243" spans="2:22" ht="15" customHeight="1" x14ac:dyDescent="0.3">
      <c r="B243" s="22">
        <v>236</v>
      </c>
      <c r="C243" s="169" t="s">
        <v>14</v>
      </c>
      <c r="D243" s="222" t="s">
        <v>1508</v>
      </c>
      <c r="E243" s="223" t="s">
        <v>1518</v>
      </c>
      <c r="F243" s="1" t="s">
        <v>390</v>
      </c>
      <c r="G243" s="1" t="s">
        <v>560</v>
      </c>
      <c r="H243" s="148" t="s">
        <v>1519</v>
      </c>
      <c r="I243" s="1" t="s">
        <v>67</v>
      </c>
      <c r="J243" s="1">
        <v>2005</v>
      </c>
      <c r="K243" s="1"/>
      <c r="L243" s="1">
        <v>210</v>
      </c>
      <c r="M243" s="1"/>
      <c r="N243" s="1">
        <v>210</v>
      </c>
      <c r="O243" s="204">
        <v>3000</v>
      </c>
      <c r="P243" s="148"/>
      <c r="Q243" s="148" t="s">
        <v>1511</v>
      </c>
      <c r="R243" s="148" t="s">
        <v>42</v>
      </c>
      <c r="S243" s="148" t="s">
        <v>1512</v>
      </c>
      <c r="T243" s="148"/>
      <c r="U243" s="1" t="s">
        <v>1520</v>
      </c>
      <c r="V243" s="148" t="s">
        <v>1521</v>
      </c>
    </row>
    <row r="244" spans="2:22" ht="15" customHeight="1" x14ac:dyDescent="0.3">
      <c r="B244" s="22">
        <v>237</v>
      </c>
      <c r="C244" s="169" t="s">
        <v>14</v>
      </c>
      <c r="D244" s="222" t="s">
        <v>1508</v>
      </c>
      <c r="E244" s="223" t="s">
        <v>1522</v>
      </c>
      <c r="F244" s="1" t="s">
        <v>390</v>
      </c>
      <c r="G244" s="1" t="s">
        <v>440</v>
      </c>
      <c r="H244" s="148" t="s">
        <v>1510</v>
      </c>
      <c r="I244" s="1" t="s">
        <v>67</v>
      </c>
      <c r="J244" s="1">
        <v>2001</v>
      </c>
      <c r="K244" s="1"/>
      <c r="L244" s="1">
        <v>210</v>
      </c>
      <c r="M244" s="1"/>
      <c r="N244" s="1">
        <v>210</v>
      </c>
      <c r="O244" s="204">
        <v>2000</v>
      </c>
      <c r="P244" s="148"/>
      <c r="Q244" s="148" t="s">
        <v>1511</v>
      </c>
      <c r="R244" s="148" t="s">
        <v>42</v>
      </c>
      <c r="S244" s="148" t="s">
        <v>1512</v>
      </c>
      <c r="T244" s="148"/>
      <c r="U244" s="1" t="s">
        <v>1523</v>
      </c>
      <c r="V244" s="148" t="s">
        <v>1524</v>
      </c>
    </row>
    <row r="245" spans="2:22" ht="15" customHeight="1" x14ac:dyDescent="0.3">
      <c r="B245" s="22">
        <v>238</v>
      </c>
      <c r="C245" s="169" t="s">
        <v>14</v>
      </c>
      <c r="D245" s="222" t="s">
        <v>1508</v>
      </c>
      <c r="E245" s="224" t="s">
        <v>1525</v>
      </c>
      <c r="F245" s="1" t="s">
        <v>55</v>
      </c>
      <c r="G245" s="1" t="s">
        <v>1526</v>
      </c>
      <c r="H245" s="148" t="s">
        <v>1527</v>
      </c>
      <c r="I245" s="1" t="s">
        <v>51</v>
      </c>
      <c r="J245" s="1">
        <v>2019</v>
      </c>
      <c r="K245" s="1"/>
      <c r="L245" s="1">
        <v>150</v>
      </c>
      <c r="M245" s="1"/>
      <c r="N245" s="1">
        <v>150</v>
      </c>
      <c r="O245" s="204" t="s">
        <v>846</v>
      </c>
      <c r="P245" s="148"/>
      <c r="Q245" s="148" t="s">
        <v>1528</v>
      </c>
      <c r="R245" s="148" t="s">
        <v>173</v>
      </c>
      <c r="S245" s="148" t="s">
        <v>1529</v>
      </c>
      <c r="T245" s="148"/>
      <c r="U245" s="1" t="s">
        <v>1530</v>
      </c>
      <c r="V245" s="148" t="s">
        <v>1531</v>
      </c>
    </row>
    <row r="246" spans="2:22" ht="15" customHeight="1" x14ac:dyDescent="0.3">
      <c r="B246" s="22">
        <v>239</v>
      </c>
      <c r="C246" s="169" t="s">
        <v>14</v>
      </c>
      <c r="D246" s="1" t="s">
        <v>1532</v>
      </c>
      <c r="E246" s="1" t="s">
        <v>1533</v>
      </c>
      <c r="F246" s="145" t="s">
        <v>1015</v>
      </c>
      <c r="G246" s="1" t="s">
        <v>1534</v>
      </c>
      <c r="H246" s="1" t="s">
        <v>1535</v>
      </c>
      <c r="I246" s="1" t="s">
        <v>422</v>
      </c>
      <c r="J246" s="1" t="s">
        <v>1536</v>
      </c>
      <c r="K246" s="1"/>
      <c r="L246" s="1">
        <v>550</v>
      </c>
      <c r="M246" s="1"/>
      <c r="N246" s="1">
        <v>550</v>
      </c>
      <c r="O246" s="204">
        <v>99000</v>
      </c>
      <c r="P246" s="225">
        <v>1000</v>
      </c>
      <c r="Q246" s="148" t="s">
        <v>1537</v>
      </c>
      <c r="R246" s="148" t="s">
        <v>173</v>
      </c>
      <c r="S246" s="148" t="s">
        <v>1538</v>
      </c>
      <c r="T246" s="148"/>
      <c r="U246" s="1" t="s">
        <v>1539</v>
      </c>
      <c r="V246" s="1" t="s">
        <v>1540</v>
      </c>
    </row>
    <row r="247" spans="2:22" ht="15" customHeight="1" x14ac:dyDescent="0.3">
      <c r="B247" s="22">
        <v>240</v>
      </c>
      <c r="C247" s="169" t="s">
        <v>14</v>
      </c>
      <c r="D247" s="1" t="s">
        <v>1532</v>
      </c>
      <c r="E247" s="1" t="s">
        <v>1541</v>
      </c>
      <c r="F247" s="145" t="s">
        <v>1015</v>
      </c>
      <c r="G247" s="1" t="s">
        <v>1542</v>
      </c>
      <c r="H247" s="1" t="s">
        <v>1543</v>
      </c>
      <c r="I247" s="1" t="s">
        <v>51</v>
      </c>
      <c r="J247" s="1" t="s">
        <v>40</v>
      </c>
      <c r="K247" s="1"/>
      <c r="L247" s="1">
        <v>260</v>
      </c>
      <c r="M247" s="1"/>
      <c r="N247" s="1">
        <v>260</v>
      </c>
      <c r="O247" s="204">
        <v>30000</v>
      </c>
      <c r="P247" s="148">
        <v>100</v>
      </c>
      <c r="Q247" s="148" t="s">
        <v>1544</v>
      </c>
      <c r="R247" s="148" t="s">
        <v>888</v>
      </c>
      <c r="S247" s="148"/>
      <c r="T247" s="148"/>
      <c r="U247" s="1" t="s">
        <v>1539</v>
      </c>
      <c r="V247" s="1" t="s">
        <v>1540</v>
      </c>
    </row>
    <row r="248" spans="2:22" ht="15" customHeight="1" x14ac:dyDescent="0.3">
      <c r="B248" s="22">
        <v>241</v>
      </c>
      <c r="C248" s="169" t="s">
        <v>14</v>
      </c>
      <c r="D248" s="1" t="s">
        <v>1545</v>
      </c>
      <c r="E248" s="1" t="s">
        <v>1546</v>
      </c>
      <c r="F248" s="1" t="s">
        <v>390</v>
      </c>
      <c r="G248" s="1" t="s">
        <v>680</v>
      </c>
      <c r="H248" s="1" t="s">
        <v>1547</v>
      </c>
      <c r="I248" s="1" t="s">
        <v>235</v>
      </c>
      <c r="J248" s="1" t="s">
        <v>1548</v>
      </c>
      <c r="K248" s="1"/>
      <c r="L248" s="1">
        <v>170</v>
      </c>
      <c r="M248" s="1"/>
      <c r="N248" s="1">
        <v>170</v>
      </c>
      <c r="O248" s="204">
        <v>20000</v>
      </c>
      <c r="P248" s="148">
        <v>100</v>
      </c>
      <c r="Q248" s="148" t="s">
        <v>1549</v>
      </c>
      <c r="R248" s="148" t="s">
        <v>238</v>
      </c>
      <c r="S248" s="39" t="s">
        <v>1550</v>
      </c>
      <c r="T248" s="148"/>
      <c r="U248" s="1" t="s">
        <v>1551</v>
      </c>
      <c r="V248" s="1" t="s">
        <v>1552</v>
      </c>
    </row>
    <row r="249" spans="2:22" ht="15" customHeight="1" x14ac:dyDescent="0.3">
      <c r="B249" s="22">
        <v>242</v>
      </c>
      <c r="C249" s="169" t="s">
        <v>14</v>
      </c>
      <c r="D249" s="1" t="s">
        <v>1553</v>
      </c>
      <c r="E249" s="1" t="s">
        <v>1554</v>
      </c>
      <c r="F249" s="1" t="s">
        <v>55</v>
      </c>
      <c r="G249" s="1" t="s">
        <v>1555</v>
      </c>
      <c r="H249" s="1" t="s">
        <v>1556</v>
      </c>
      <c r="I249" s="1" t="s">
        <v>67</v>
      </c>
      <c r="J249" s="1">
        <v>2011</v>
      </c>
      <c r="K249" s="1">
        <v>0</v>
      </c>
      <c r="L249" s="1">
        <v>430</v>
      </c>
      <c r="M249" s="1">
        <v>0</v>
      </c>
      <c r="N249" s="1">
        <f>SUM(K249:M249)</f>
        <v>430</v>
      </c>
      <c r="O249" s="204"/>
      <c r="P249" s="148"/>
      <c r="Q249" s="148" t="s">
        <v>1557</v>
      </c>
      <c r="R249" s="148" t="s">
        <v>395</v>
      </c>
      <c r="S249" s="148" t="s">
        <v>1558</v>
      </c>
      <c r="T249" s="148"/>
      <c r="U249" s="1" t="s">
        <v>1559</v>
      </c>
      <c r="V249" s="1" t="s">
        <v>1560</v>
      </c>
    </row>
    <row r="250" spans="2:22" ht="15" customHeight="1" x14ac:dyDescent="0.3">
      <c r="B250" s="22">
        <v>243</v>
      </c>
      <c r="C250" s="169" t="s">
        <v>14</v>
      </c>
      <c r="D250" s="1" t="s">
        <v>1553</v>
      </c>
      <c r="E250" s="1" t="s">
        <v>1561</v>
      </c>
      <c r="F250" s="1" t="s">
        <v>390</v>
      </c>
      <c r="G250" s="1" t="s">
        <v>614</v>
      </c>
      <c r="H250" s="1" t="s">
        <v>1562</v>
      </c>
      <c r="I250" s="1" t="s">
        <v>67</v>
      </c>
      <c r="J250" s="1">
        <v>2018</v>
      </c>
      <c r="K250" s="1">
        <v>0</v>
      </c>
      <c r="L250" s="1">
        <v>825</v>
      </c>
      <c r="M250" s="1">
        <v>0</v>
      </c>
      <c r="N250" s="1">
        <f>SUM(K250:M250)</f>
        <v>825</v>
      </c>
      <c r="O250" s="204">
        <v>268798</v>
      </c>
      <c r="P250" s="148"/>
      <c r="Q250" s="148" t="s">
        <v>1563</v>
      </c>
      <c r="R250" s="148" t="s">
        <v>395</v>
      </c>
      <c r="S250" s="148" t="s">
        <v>1558</v>
      </c>
      <c r="T250" s="148"/>
      <c r="U250" s="1" t="s">
        <v>1559</v>
      </c>
      <c r="V250" s="1" t="s">
        <v>1560</v>
      </c>
    </row>
    <row r="251" spans="2:22" ht="15" customHeight="1" x14ac:dyDescent="0.3">
      <c r="B251" s="22">
        <v>244</v>
      </c>
      <c r="C251" s="169" t="s">
        <v>14</v>
      </c>
      <c r="D251" s="1" t="s">
        <v>1564</v>
      </c>
      <c r="E251" s="1" t="s">
        <v>1565</v>
      </c>
      <c r="F251" s="1" t="s">
        <v>390</v>
      </c>
      <c r="G251" s="1" t="s">
        <v>1566</v>
      </c>
      <c r="H251" s="148" t="s">
        <v>1567</v>
      </c>
      <c r="I251" s="1" t="s">
        <v>51</v>
      </c>
      <c r="J251" s="1">
        <v>2004</v>
      </c>
      <c r="K251" s="1">
        <v>30</v>
      </c>
      <c r="L251" s="1">
        <v>630</v>
      </c>
      <c r="M251" s="1">
        <v>0</v>
      </c>
      <c r="N251" s="1">
        <v>0</v>
      </c>
      <c r="O251" s="40">
        <v>170518</v>
      </c>
      <c r="P251" s="148" t="s">
        <v>68</v>
      </c>
      <c r="Q251" s="148" t="s">
        <v>1568</v>
      </c>
      <c r="R251" s="148" t="s">
        <v>395</v>
      </c>
      <c r="S251" s="148" t="s">
        <v>1569</v>
      </c>
      <c r="T251" s="148" t="s">
        <v>43</v>
      </c>
      <c r="U251" s="1" t="s">
        <v>1570</v>
      </c>
      <c r="V251" s="1" t="s">
        <v>1571</v>
      </c>
    </row>
    <row r="252" spans="2:22" ht="15" customHeight="1" x14ac:dyDescent="0.3">
      <c r="B252" s="22">
        <v>245</v>
      </c>
      <c r="C252" s="169" t="s">
        <v>14</v>
      </c>
      <c r="D252" s="1" t="s">
        <v>1572</v>
      </c>
      <c r="E252" s="1" t="s">
        <v>1573</v>
      </c>
      <c r="F252" s="1" t="s">
        <v>390</v>
      </c>
      <c r="G252" s="1" t="s">
        <v>1574</v>
      </c>
      <c r="H252" s="1" t="s">
        <v>1575</v>
      </c>
      <c r="I252" s="1" t="s">
        <v>422</v>
      </c>
      <c r="J252" s="1">
        <v>2005</v>
      </c>
      <c r="K252" s="1">
        <v>0</v>
      </c>
      <c r="L252" s="1">
        <v>500</v>
      </c>
      <c r="M252" s="1">
        <v>0</v>
      </c>
      <c r="N252" s="1">
        <v>500</v>
      </c>
      <c r="O252" s="204">
        <v>115384</v>
      </c>
      <c r="P252" s="148">
        <v>0</v>
      </c>
      <c r="Q252" s="148" t="s">
        <v>1576</v>
      </c>
      <c r="R252" s="148" t="s">
        <v>42</v>
      </c>
      <c r="S252" s="148" t="s">
        <v>1577</v>
      </c>
      <c r="T252" s="148" t="s">
        <v>68</v>
      </c>
      <c r="U252" s="1" t="s">
        <v>1578</v>
      </c>
      <c r="V252" s="1" t="s">
        <v>1579</v>
      </c>
    </row>
    <row r="253" spans="2:22" ht="15" customHeight="1" x14ac:dyDescent="0.3">
      <c r="B253" s="22">
        <v>246</v>
      </c>
      <c r="C253" s="169" t="s">
        <v>14</v>
      </c>
      <c r="D253" s="1" t="s">
        <v>1572</v>
      </c>
      <c r="E253" s="1" t="s">
        <v>1580</v>
      </c>
      <c r="F253" s="1" t="s">
        <v>390</v>
      </c>
      <c r="G253" s="1" t="s">
        <v>560</v>
      </c>
      <c r="H253" s="1" t="s">
        <v>1581</v>
      </c>
      <c r="I253" s="1" t="s">
        <v>51</v>
      </c>
      <c r="J253" s="1">
        <v>2007</v>
      </c>
      <c r="K253" s="1">
        <v>0</v>
      </c>
      <c r="L253" s="1">
        <v>400</v>
      </c>
      <c r="M253" s="1">
        <v>0</v>
      </c>
      <c r="N253" s="1">
        <v>400</v>
      </c>
      <c r="O253" s="204">
        <v>110000</v>
      </c>
      <c r="P253" s="225">
        <v>10000</v>
      </c>
      <c r="Q253" s="148" t="s">
        <v>1576</v>
      </c>
      <c r="R253" s="148" t="s">
        <v>42</v>
      </c>
      <c r="S253" s="148" t="s">
        <v>1577</v>
      </c>
      <c r="T253" s="148" t="s">
        <v>68</v>
      </c>
      <c r="U253" s="1" t="s">
        <v>1582</v>
      </c>
      <c r="V253" s="1" t="s">
        <v>1583</v>
      </c>
    </row>
    <row r="254" spans="2:22" ht="15" customHeight="1" x14ac:dyDescent="0.3">
      <c r="B254" s="22">
        <v>247</v>
      </c>
      <c r="C254" s="169" t="s">
        <v>14</v>
      </c>
      <c r="D254" s="1" t="s">
        <v>1584</v>
      </c>
      <c r="E254" s="1" t="s">
        <v>1585</v>
      </c>
      <c r="F254" s="1" t="s">
        <v>461</v>
      </c>
      <c r="G254" s="1" t="s">
        <v>1586</v>
      </c>
      <c r="H254" s="1" t="s">
        <v>1587</v>
      </c>
      <c r="I254" s="1" t="s">
        <v>292</v>
      </c>
      <c r="J254" s="1" t="s">
        <v>831</v>
      </c>
      <c r="K254" s="1">
        <v>0</v>
      </c>
      <c r="L254" s="1">
        <v>600</v>
      </c>
      <c r="M254" s="1">
        <v>0</v>
      </c>
      <c r="N254" s="1">
        <v>600</v>
      </c>
      <c r="O254" s="204" t="s">
        <v>296</v>
      </c>
      <c r="P254" s="148" t="s">
        <v>296</v>
      </c>
      <c r="Q254" s="148" t="s">
        <v>1588</v>
      </c>
      <c r="R254" s="148" t="s">
        <v>247</v>
      </c>
      <c r="S254" s="148" t="s">
        <v>1589</v>
      </c>
      <c r="T254" s="148"/>
      <c r="U254" s="1" t="s">
        <v>1590</v>
      </c>
      <c r="V254" s="1" t="s">
        <v>1591</v>
      </c>
    </row>
    <row r="255" spans="2:22" ht="15" customHeight="1" x14ac:dyDescent="0.3">
      <c r="B255" s="22">
        <v>248</v>
      </c>
      <c r="C255" s="169" t="s">
        <v>14</v>
      </c>
      <c r="D255" s="1" t="s">
        <v>1584</v>
      </c>
      <c r="E255" s="1" t="s">
        <v>1592</v>
      </c>
      <c r="F255" s="1" t="s">
        <v>461</v>
      </c>
      <c r="G255" s="1" t="s">
        <v>1593</v>
      </c>
      <c r="H255" s="1" t="s">
        <v>1594</v>
      </c>
      <c r="I255" s="1" t="s">
        <v>292</v>
      </c>
      <c r="J255" s="1" t="s">
        <v>273</v>
      </c>
      <c r="K255" s="1">
        <v>0</v>
      </c>
      <c r="L255" s="1">
        <v>90</v>
      </c>
      <c r="M255" s="1">
        <v>0</v>
      </c>
      <c r="N255" s="1">
        <v>90</v>
      </c>
      <c r="O255" s="204" t="s">
        <v>296</v>
      </c>
      <c r="P255" s="148" t="s">
        <v>296</v>
      </c>
      <c r="Q255" s="148" t="s">
        <v>1588</v>
      </c>
      <c r="R255" s="148" t="s">
        <v>247</v>
      </c>
      <c r="S255" s="148" t="s">
        <v>1589</v>
      </c>
      <c r="T255" s="148"/>
      <c r="U255" s="1" t="s">
        <v>1595</v>
      </c>
      <c r="V255" s="1" t="s">
        <v>1596</v>
      </c>
    </row>
    <row r="256" spans="2:22" ht="15" customHeight="1" x14ac:dyDescent="0.3">
      <c r="B256" s="22">
        <v>249</v>
      </c>
      <c r="C256" s="169" t="s">
        <v>14</v>
      </c>
      <c r="D256" s="226" t="s">
        <v>1584</v>
      </c>
      <c r="E256" s="226" t="s">
        <v>1597</v>
      </c>
      <c r="F256" s="226" t="s">
        <v>1598</v>
      </c>
      <c r="G256" s="226" t="s">
        <v>1440</v>
      </c>
      <c r="H256" s="226" t="s">
        <v>1599</v>
      </c>
      <c r="I256" s="226" t="s">
        <v>292</v>
      </c>
      <c r="J256" s="226" t="s">
        <v>1600</v>
      </c>
      <c r="K256" s="226">
        <v>0</v>
      </c>
      <c r="L256" s="226">
        <v>260</v>
      </c>
      <c r="M256" s="226">
        <v>0</v>
      </c>
      <c r="N256" s="226">
        <v>260</v>
      </c>
      <c r="O256" s="227" t="s">
        <v>296</v>
      </c>
      <c r="P256" s="228" t="s">
        <v>296</v>
      </c>
      <c r="Q256" s="228" t="s">
        <v>1588</v>
      </c>
      <c r="R256" s="228" t="s">
        <v>247</v>
      </c>
      <c r="S256" s="228" t="s">
        <v>1589</v>
      </c>
      <c r="T256" s="228"/>
      <c r="U256" s="226" t="s">
        <v>1601</v>
      </c>
      <c r="V256" s="226" t="s">
        <v>1602</v>
      </c>
    </row>
    <row r="257" spans="2:22" ht="15" customHeight="1" x14ac:dyDescent="0.3">
      <c r="B257" s="22">
        <v>250</v>
      </c>
      <c r="C257" s="169" t="s">
        <v>14</v>
      </c>
      <c r="D257" s="229" t="s">
        <v>1603</v>
      </c>
      <c r="E257" s="230" t="s">
        <v>1604</v>
      </c>
      <c r="F257" s="1" t="s">
        <v>50</v>
      </c>
      <c r="G257" s="230" t="s">
        <v>1605</v>
      </c>
      <c r="H257" s="230" t="s">
        <v>1606</v>
      </c>
      <c r="I257" s="1" t="s">
        <v>51</v>
      </c>
      <c r="J257" s="146">
        <v>1999</v>
      </c>
      <c r="K257" s="230"/>
      <c r="L257" s="230">
        <v>530</v>
      </c>
      <c r="M257" s="230"/>
      <c r="N257" s="230">
        <v>530</v>
      </c>
      <c r="O257" s="33">
        <v>310000</v>
      </c>
      <c r="P257" s="22"/>
      <c r="Q257" s="22" t="s">
        <v>1607</v>
      </c>
      <c r="R257" s="22" t="s">
        <v>877</v>
      </c>
      <c r="S257" s="22" t="s">
        <v>1608</v>
      </c>
      <c r="T257" s="22"/>
      <c r="U257" s="146" t="s">
        <v>1609</v>
      </c>
      <c r="V257" s="146" t="s">
        <v>1610</v>
      </c>
    </row>
    <row r="258" spans="2:22" ht="15" customHeight="1" x14ac:dyDescent="0.3">
      <c r="B258" s="22">
        <v>251</v>
      </c>
      <c r="C258" s="169" t="s">
        <v>14</v>
      </c>
      <c r="D258" s="229" t="s">
        <v>1603</v>
      </c>
      <c r="E258" s="230" t="s">
        <v>1611</v>
      </c>
      <c r="F258" s="1" t="s">
        <v>390</v>
      </c>
      <c r="G258" s="230" t="s">
        <v>1612</v>
      </c>
      <c r="H258" s="230" t="s">
        <v>1613</v>
      </c>
      <c r="I258" s="1" t="s">
        <v>51</v>
      </c>
      <c r="J258" s="146">
        <v>2006</v>
      </c>
      <c r="K258" s="230"/>
      <c r="L258" s="230">
        <v>430</v>
      </c>
      <c r="M258" s="230"/>
      <c r="N258" s="230">
        <v>430</v>
      </c>
      <c r="O258" s="33">
        <v>380000</v>
      </c>
      <c r="P258" s="22"/>
      <c r="Q258" s="22" t="s">
        <v>1614</v>
      </c>
      <c r="R258" s="22" t="s">
        <v>877</v>
      </c>
      <c r="S258" s="22" t="s">
        <v>1608</v>
      </c>
      <c r="T258" s="22"/>
      <c r="U258" s="146" t="s">
        <v>1609</v>
      </c>
      <c r="V258" s="146" t="s">
        <v>1610</v>
      </c>
    </row>
    <row r="259" spans="2:22" ht="15" customHeight="1" x14ac:dyDescent="0.3">
      <c r="B259" s="22">
        <v>252</v>
      </c>
      <c r="C259" s="169" t="s">
        <v>14</v>
      </c>
      <c r="D259" s="229" t="s">
        <v>1603</v>
      </c>
      <c r="E259" s="230" t="s">
        <v>1615</v>
      </c>
      <c r="F259" s="1" t="s">
        <v>55</v>
      </c>
      <c r="G259" s="230" t="s">
        <v>1612</v>
      </c>
      <c r="H259" s="230" t="s">
        <v>1613</v>
      </c>
      <c r="I259" s="1" t="s">
        <v>51</v>
      </c>
      <c r="J259" s="146">
        <v>2015</v>
      </c>
      <c r="K259" s="230"/>
      <c r="L259" s="230">
        <v>650</v>
      </c>
      <c r="M259" s="230"/>
      <c r="N259" s="230">
        <v>650</v>
      </c>
      <c r="O259" s="33">
        <v>380000</v>
      </c>
      <c r="P259" s="22"/>
      <c r="Q259" s="22" t="s">
        <v>1616</v>
      </c>
      <c r="R259" s="22" t="s">
        <v>162</v>
      </c>
      <c r="S259" s="22" t="s">
        <v>1608</v>
      </c>
      <c r="T259" s="22"/>
      <c r="U259" s="146" t="s">
        <v>1609</v>
      </c>
      <c r="V259" s="146" t="s">
        <v>1610</v>
      </c>
    </row>
    <row r="260" spans="2:22" ht="15" customHeight="1" x14ac:dyDescent="0.3">
      <c r="B260" s="22">
        <v>253</v>
      </c>
      <c r="C260" s="169" t="s">
        <v>14</v>
      </c>
      <c r="D260" s="146" t="s">
        <v>1617</v>
      </c>
      <c r="E260" s="146" t="s">
        <v>1618</v>
      </c>
      <c r="F260" s="146" t="s">
        <v>50</v>
      </c>
      <c r="G260" s="146" t="s">
        <v>223</v>
      </c>
      <c r="H260" s="146" t="s">
        <v>1619</v>
      </c>
      <c r="I260" s="146" t="s">
        <v>67</v>
      </c>
      <c r="J260" s="146">
        <v>2005</v>
      </c>
      <c r="K260" s="146">
        <v>0</v>
      </c>
      <c r="L260" s="146">
        <v>900</v>
      </c>
      <c r="M260" s="146">
        <v>0</v>
      </c>
      <c r="N260" s="146">
        <v>900</v>
      </c>
      <c r="O260" s="33" t="s">
        <v>846</v>
      </c>
      <c r="P260" s="22" t="s">
        <v>846</v>
      </c>
      <c r="Q260" s="22" t="s">
        <v>1620</v>
      </c>
      <c r="R260" s="22" t="s">
        <v>173</v>
      </c>
      <c r="S260" s="22" t="s">
        <v>1621</v>
      </c>
      <c r="T260" s="22"/>
      <c r="U260" s="146" t="s">
        <v>1622</v>
      </c>
      <c r="V260" s="146" t="s">
        <v>1623</v>
      </c>
    </row>
    <row r="261" spans="2:22" ht="15" customHeight="1" x14ac:dyDescent="0.3">
      <c r="B261" s="22">
        <v>254</v>
      </c>
      <c r="C261" s="169" t="s">
        <v>14</v>
      </c>
      <c r="D261" s="146" t="s">
        <v>4595</v>
      </c>
      <c r="E261" s="8" t="s">
        <v>4596</v>
      </c>
      <c r="F261" s="146" t="s">
        <v>55</v>
      </c>
      <c r="G261" s="146" t="s">
        <v>178</v>
      </c>
      <c r="H261" s="215" t="s">
        <v>4597</v>
      </c>
      <c r="I261" s="146" t="s">
        <v>67</v>
      </c>
      <c r="J261" s="146" t="s">
        <v>1371</v>
      </c>
      <c r="K261" s="146">
        <v>0</v>
      </c>
      <c r="L261" s="146">
        <v>1000</v>
      </c>
      <c r="M261" s="146">
        <v>0</v>
      </c>
      <c r="N261" s="146">
        <f>SUM(K261:M261)</f>
        <v>1000</v>
      </c>
      <c r="O261" s="146"/>
      <c r="P261" s="146"/>
      <c r="Q261" s="215" t="s">
        <v>4598</v>
      </c>
      <c r="R261" s="215" t="s">
        <v>4599</v>
      </c>
      <c r="S261" s="146" t="s">
        <v>4600</v>
      </c>
      <c r="T261" s="146"/>
      <c r="U261" s="146" t="s">
        <v>4601</v>
      </c>
      <c r="V261" s="146" t="s">
        <v>4602</v>
      </c>
    </row>
    <row r="262" spans="2:22" ht="15" customHeight="1" x14ac:dyDescent="0.3">
      <c r="B262" s="22">
        <v>255</v>
      </c>
      <c r="C262" s="169" t="s">
        <v>14</v>
      </c>
      <c r="D262" s="147" t="s">
        <v>4595</v>
      </c>
      <c r="E262" s="8" t="s">
        <v>4603</v>
      </c>
      <c r="F262" s="147" t="s">
        <v>95</v>
      </c>
      <c r="G262" s="147" t="s">
        <v>167</v>
      </c>
      <c r="H262" s="215" t="s">
        <v>4604</v>
      </c>
      <c r="I262" s="147" t="s">
        <v>51</v>
      </c>
      <c r="J262" s="147" t="s">
        <v>98</v>
      </c>
      <c r="K262" s="147">
        <v>0</v>
      </c>
      <c r="L262" s="147">
        <v>1000</v>
      </c>
      <c r="M262" s="147">
        <v>0</v>
      </c>
      <c r="N262" s="146">
        <f t="shared" ref="N262:N263" si="5">SUM(K262:M262)</f>
        <v>1000</v>
      </c>
      <c r="O262" s="147"/>
      <c r="P262" s="147"/>
      <c r="Q262" s="215" t="s">
        <v>4605</v>
      </c>
      <c r="R262" s="215" t="s">
        <v>4599</v>
      </c>
      <c r="S262" s="147" t="s">
        <v>4600</v>
      </c>
      <c r="T262" s="147"/>
      <c r="U262" s="147" t="s">
        <v>4601</v>
      </c>
      <c r="V262" s="147" t="s">
        <v>4602</v>
      </c>
    </row>
    <row r="263" spans="2:22" ht="15" customHeight="1" x14ac:dyDescent="0.3">
      <c r="B263" s="22">
        <v>256</v>
      </c>
      <c r="C263" s="169" t="s">
        <v>14</v>
      </c>
      <c r="D263" s="147" t="s">
        <v>4595</v>
      </c>
      <c r="E263" s="147" t="s">
        <v>4606</v>
      </c>
      <c r="F263" s="147" t="s">
        <v>55</v>
      </c>
      <c r="G263" s="147" t="s">
        <v>728</v>
      </c>
      <c r="H263" s="147" t="s">
        <v>4607</v>
      </c>
      <c r="I263" s="147" t="s">
        <v>67</v>
      </c>
      <c r="J263" s="147" t="s">
        <v>109</v>
      </c>
      <c r="K263" s="147">
        <v>0</v>
      </c>
      <c r="L263" s="147">
        <v>4000</v>
      </c>
      <c r="M263" s="147">
        <v>0</v>
      </c>
      <c r="N263" s="146">
        <f t="shared" si="5"/>
        <v>4000</v>
      </c>
      <c r="O263" s="147"/>
      <c r="P263" s="147"/>
      <c r="Q263" s="215" t="s">
        <v>4598</v>
      </c>
      <c r="R263" s="215" t="s">
        <v>4599</v>
      </c>
      <c r="S263" s="147" t="s">
        <v>4600</v>
      </c>
      <c r="T263" s="147"/>
      <c r="U263" s="147" t="s">
        <v>4608</v>
      </c>
      <c r="V263" s="147" t="s">
        <v>4609</v>
      </c>
    </row>
    <row r="264" spans="2:22" ht="15" customHeight="1" x14ac:dyDescent="0.3">
      <c r="B264" s="22">
        <v>257</v>
      </c>
      <c r="C264" s="169" t="s">
        <v>14</v>
      </c>
      <c r="D264" s="1" t="s">
        <v>1624</v>
      </c>
      <c r="E264" s="231" t="s">
        <v>1625</v>
      </c>
      <c r="F264" s="231" t="s">
        <v>1626</v>
      </c>
      <c r="G264" s="231" t="s">
        <v>1627</v>
      </c>
      <c r="H264" s="232" t="s">
        <v>1628</v>
      </c>
      <c r="I264" s="1" t="s">
        <v>67</v>
      </c>
      <c r="J264" s="1" t="s">
        <v>114</v>
      </c>
      <c r="K264" s="1"/>
      <c r="L264" s="1">
        <v>1800</v>
      </c>
      <c r="M264" s="1"/>
      <c r="N264" s="1">
        <v>1800</v>
      </c>
      <c r="O264" s="204">
        <v>18000</v>
      </c>
      <c r="P264" s="148"/>
      <c r="Q264" s="7" t="s">
        <v>1629</v>
      </c>
      <c r="R264" s="148" t="s">
        <v>457</v>
      </c>
      <c r="S264" s="148" t="s">
        <v>1630</v>
      </c>
      <c r="T264" s="148"/>
      <c r="U264" s="1" t="s">
        <v>1631</v>
      </c>
      <c r="V264" s="1" t="s">
        <v>1632</v>
      </c>
    </row>
    <row r="265" spans="2:22" ht="15" customHeight="1" x14ac:dyDescent="0.3">
      <c r="B265" s="22">
        <v>258</v>
      </c>
      <c r="C265" s="169" t="s">
        <v>14</v>
      </c>
      <c r="D265" s="1" t="s">
        <v>1633</v>
      </c>
      <c r="E265" s="1" t="s">
        <v>1634</v>
      </c>
      <c r="F265" s="1" t="s">
        <v>390</v>
      </c>
      <c r="G265" s="1" t="s">
        <v>440</v>
      </c>
      <c r="H265" s="1" t="s">
        <v>1635</v>
      </c>
      <c r="I265" s="1" t="s">
        <v>51</v>
      </c>
      <c r="J265" s="1" t="s">
        <v>1352</v>
      </c>
      <c r="K265" s="1"/>
      <c r="L265" s="1">
        <v>300</v>
      </c>
      <c r="M265" s="1"/>
      <c r="N265" s="1">
        <v>300</v>
      </c>
      <c r="O265" s="204" t="s">
        <v>846</v>
      </c>
      <c r="P265" s="148" t="s">
        <v>846</v>
      </c>
      <c r="Q265" s="148" t="s">
        <v>1636</v>
      </c>
      <c r="R265" s="148" t="s">
        <v>853</v>
      </c>
      <c r="S265" s="148"/>
      <c r="T265" s="148"/>
      <c r="U265" s="1" t="s">
        <v>1637</v>
      </c>
      <c r="V265" s="1" t="s">
        <v>1638</v>
      </c>
    </row>
    <row r="266" spans="2:22" ht="15" customHeight="1" x14ac:dyDescent="0.3">
      <c r="B266" s="22">
        <v>259</v>
      </c>
      <c r="C266" s="169" t="s">
        <v>14</v>
      </c>
      <c r="D266" s="1" t="s">
        <v>1633</v>
      </c>
      <c r="E266" s="1" t="s">
        <v>1639</v>
      </c>
      <c r="F266" s="1" t="s">
        <v>390</v>
      </c>
      <c r="G266" s="1" t="s">
        <v>560</v>
      </c>
      <c r="H266" s="1" t="s">
        <v>1640</v>
      </c>
      <c r="I266" s="1" t="s">
        <v>51</v>
      </c>
      <c r="J266" s="1" t="s">
        <v>1641</v>
      </c>
      <c r="K266" s="1"/>
      <c r="L266" s="1">
        <v>100</v>
      </c>
      <c r="M266" s="1"/>
      <c r="N266" s="1">
        <v>100</v>
      </c>
      <c r="O266" s="204" t="s">
        <v>846</v>
      </c>
      <c r="P266" s="148" t="s">
        <v>846</v>
      </c>
      <c r="Q266" s="148" t="s">
        <v>1642</v>
      </c>
      <c r="R266" s="148" t="s">
        <v>853</v>
      </c>
      <c r="S266" s="148"/>
      <c r="T266" s="148"/>
      <c r="U266" s="1" t="s">
        <v>1643</v>
      </c>
      <c r="V266" s="1" t="s">
        <v>1644</v>
      </c>
    </row>
    <row r="267" spans="2:22" ht="15" customHeight="1" x14ac:dyDescent="0.3">
      <c r="B267" s="22">
        <v>260</v>
      </c>
      <c r="C267" s="169" t="s">
        <v>14</v>
      </c>
      <c r="D267" s="1" t="s">
        <v>1633</v>
      </c>
      <c r="E267" s="1" t="s">
        <v>1645</v>
      </c>
      <c r="F267" s="1" t="s">
        <v>95</v>
      </c>
      <c r="G267" s="1" t="s">
        <v>539</v>
      </c>
      <c r="H267" s="1" t="s">
        <v>1646</v>
      </c>
      <c r="I267" s="1" t="s">
        <v>51</v>
      </c>
      <c r="J267" s="1" t="s">
        <v>1647</v>
      </c>
      <c r="K267" s="1">
        <v>500</v>
      </c>
      <c r="L267" s="211">
        <v>1500</v>
      </c>
      <c r="M267" s="1"/>
      <c r="N267" s="211">
        <v>2000</v>
      </c>
      <c r="O267" s="204" t="s">
        <v>846</v>
      </c>
      <c r="P267" s="148" t="s">
        <v>846</v>
      </c>
      <c r="Q267" s="148" t="s">
        <v>1648</v>
      </c>
      <c r="R267" s="148" t="s">
        <v>42</v>
      </c>
      <c r="S267" s="148" t="s">
        <v>1649</v>
      </c>
      <c r="T267" s="148" t="s">
        <v>1650</v>
      </c>
      <c r="U267" s="1" t="s">
        <v>1651</v>
      </c>
      <c r="V267" s="1" t="s">
        <v>1652</v>
      </c>
    </row>
    <row r="268" spans="2:22" ht="15" customHeight="1" x14ac:dyDescent="0.3">
      <c r="B268" s="22">
        <v>261</v>
      </c>
      <c r="C268" s="169" t="s">
        <v>14</v>
      </c>
      <c r="D268" s="1" t="s">
        <v>1633</v>
      </c>
      <c r="E268" s="1" t="s">
        <v>1653</v>
      </c>
      <c r="F268" s="1" t="s">
        <v>1654</v>
      </c>
      <c r="G268" s="1" t="s">
        <v>560</v>
      </c>
      <c r="H268" s="148" t="s">
        <v>1655</v>
      </c>
      <c r="I268" s="1" t="s">
        <v>51</v>
      </c>
      <c r="J268" s="1" t="s">
        <v>1386</v>
      </c>
      <c r="K268" s="1"/>
      <c r="L268" s="1">
        <v>150</v>
      </c>
      <c r="M268" s="1"/>
      <c r="N268" s="1">
        <v>150</v>
      </c>
      <c r="O268" s="204" t="s">
        <v>846</v>
      </c>
      <c r="P268" s="148" t="s">
        <v>846</v>
      </c>
      <c r="Q268" s="148" t="s">
        <v>1656</v>
      </c>
      <c r="R268" s="148" t="s">
        <v>1657</v>
      </c>
      <c r="S268" s="148"/>
      <c r="T268" s="148"/>
      <c r="U268" s="1" t="s">
        <v>1658</v>
      </c>
      <c r="V268" s="1" t="s">
        <v>1659</v>
      </c>
    </row>
    <row r="269" spans="2:22" ht="15" customHeight="1" x14ac:dyDescent="0.3">
      <c r="B269" s="22">
        <v>262</v>
      </c>
      <c r="C269" s="169" t="s">
        <v>14</v>
      </c>
      <c r="D269" s="233" t="s">
        <v>1660</v>
      </c>
      <c r="E269" s="233" t="s">
        <v>1661</v>
      </c>
      <c r="F269" s="205" t="s">
        <v>95</v>
      </c>
      <c r="G269" s="233" t="s">
        <v>1662</v>
      </c>
      <c r="H269" s="233" t="s">
        <v>1663</v>
      </c>
      <c r="I269" s="1" t="s">
        <v>51</v>
      </c>
      <c r="J269" s="233" t="s">
        <v>1664</v>
      </c>
      <c r="K269" s="233">
        <v>30</v>
      </c>
      <c r="L269" s="233">
        <v>30</v>
      </c>
      <c r="M269" s="234">
        <v>1600</v>
      </c>
      <c r="N269" s="212">
        <v>1660</v>
      </c>
      <c r="O269" s="41" t="s">
        <v>1665</v>
      </c>
      <c r="P269" s="36"/>
      <c r="Q269" s="235" t="s">
        <v>1666</v>
      </c>
      <c r="R269" s="236" t="s">
        <v>1667</v>
      </c>
      <c r="S269" s="36" t="s">
        <v>1668</v>
      </c>
      <c r="T269" s="36" t="s">
        <v>43</v>
      </c>
      <c r="U269" s="205" t="s">
        <v>1669</v>
      </c>
      <c r="V269" s="205" t="s">
        <v>1670</v>
      </c>
    </row>
    <row r="270" spans="2:22" ht="15" customHeight="1" x14ac:dyDescent="0.3">
      <c r="B270" s="22">
        <v>263</v>
      </c>
      <c r="C270" s="169" t="s">
        <v>14</v>
      </c>
      <c r="D270" s="233" t="s">
        <v>1660</v>
      </c>
      <c r="E270" s="233" t="s">
        <v>1671</v>
      </c>
      <c r="F270" s="205" t="s">
        <v>390</v>
      </c>
      <c r="G270" s="233" t="s">
        <v>1672</v>
      </c>
      <c r="H270" s="233" t="s">
        <v>1663</v>
      </c>
      <c r="I270" s="1" t="s">
        <v>51</v>
      </c>
      <c r="J270" s="233" t="s">
        <v>1673</v>
      </c>
      <c r="K270" s="233"/>
      <c r="L270" s="233"/>
      <c r="M270" s="233">
        <v>505</v>
      </c>
      <c r="N270" s="212">
        <v>505</v>
      </c>
      <c r="O270" s="37" t="s">
        <v>846</v>
      </c>
      <c r="P270" s="36"/>
      <c r="Q270" s="235" t="s">
        <v>1666</v>
      </c>
      <c r="R270" s="236" t="s">
        <v>1667</v>
      </c>
      <c r="S270" s="36" t="s">
        <v>1668</v>
      </c>
      <c r="T270" s="36"/>
      <c r="U270" s="205" t="s">
        <v>1669</v>
      </c>
      <c r="V270" s="205" t="s">
        <v>1670</v>
      </c>
    </row>
    <row r="271" spans="2:22" ht="15" customHeight="1" x14ac:dyDescent="0.3">
      <c r="B271" s="22">
        <v>264</v>
      </c>
      <c r="C271" s="169" t="s">
        <v>14</v>
      </c>
      <c r="D271" s="233" t="s">
        <v>1660</v>
      </c>
      <c r="E271" s="233" t="s">
        <v>1674</v>
      </c>
      <c r="F271" s="205" t="s">
        <v>1243</v>
      </c>
      <c r="G271" s="233" t="s">
        <v>1675</v>
      </c>
      <c r="H271" s="233" t="s">
        <v>1676</v>
      </c>
      <c r="I271" s="1" t="s">
        <v>51</v>
      </c>
      <c r="J271" s="233" t="s">
        <v>1677</v>
      </c>
      <c r="K271" s="233"/>
      <c r="L271" s="233"/>
      <c r="M271" s="233">
        <v>100</v>
      </c>
      <c r="N271" s="212">
        <v>100</v>
      </c>
      <c r="O271" s="37" t="s">
        <v>846</v>
      </c>
      <c r="P271" s="36"/>
      <c r="Q271" s="235" t="s">
        <v>1666</v>
      </c>
      <c r="R271" s="236" t="s">
        <v>1667</v>
      </c>
      <c r="S271" s="36" t="s">
        <v>1668</v>
      </c>
      <c r="T271" s="36"/>
      <c r="U271" s="205" t="s">
        <v>1669</v>
      </c>
      <c r="V271" s="205" t="s">
        <v>1670</v>
      </c>
    </row>
    <row r="272" spans="2:22" ht="15" customHeight="1" x14ac:dyDescent="0.3">
      <c r="B272" s="22">
        <v>265</v>
      </c>
      <c r="C272" s="169" t="s">
        <v>14</v>
      </c>
      <c r="D272" s="233" t="s">
        <v>1660</v>
      </c>
      <c r="E272" s="233" t="s">
        <v>1678</v>
      </c>
      <c r="F272" s="205" t="s">
        <v>1243</v>
      </c>
      <c r="G272" s="233" t="s">
        <v>1679</v>
      </c>
      <c r="H272" s="233" t="s">
        <v>1680</v>
      </c>
      <c r="I272" s="1" t="s">
        <v>51</v>
      </c>
      <c r="J272" s="233" t="s">
        <v>1681</v>
      </c>
      <c r="K272" s="233"/>
      <c r="L272" s="233"/>
      <c r="M272" s="233">
        <v>100</v>
      </c>
      <c r="N272" s="212">
        <v>100</v>
      </c>
      <c r="O272" s="37" t="s">
        <v>846</v>
      </c>
      <c r="P272" s="36"/>
      <c r="Q272" s="235" t="s">
        <v>1666</v>
      </c>
      <c r="R272" s="236" t="s">
        <v>1667</v>
      </c>
      <c r="S272" s="36" t="s">
        <v>1668</v>
      </c>
      <c r="T272" s="36"/>
      <c r="U272" s="205" t="s">
        <v>1669</v>
      </c>
      <c r="V272" s="205" t="s">
        <v>1670</v>
      </c>
    </row>
    <row r="273" spans="2:22" ht="15" customHeight="1" x14ac:dyDescent="0.3">
      <c r="B273" s="22">
        <v>266</v>
      </c>
      <c r="C273" s="169" t="s">
        <v>14</v>
      </c>
      <c r="D273" s="1" t="s">
        <v>1682</v>
      </c>
      <c r="E273" s="1" t="s">
        <v>1683</v>
      </c>
      <c r="F273" s="1" t="s">
        <v>390</v>
      </c>
      <c r="G273" s="1" t="s">
        <v>1684</v>
      </c>
      <c r="H273" s="1" t="s">
        <v>1685</v>
      </c>
      <c r="I273" s="1" t="s">
        <v>730</v>
      </c>
      <c r="J273" s="1">
        <v>2000</v>
      </c>
      <c r="K273" s="1"/>
      <c r="L273" s="1">
        <v>350</v>
      </c>
      <c r="M273" s="1"/>
      <c r="N273" s="1">
        <v>350</v>
      </c>
      <c r="O273" s="204" t="s">
        <v>846</v>
      </c>
      <c r="P273" s="148"/>
      <c r="Q273" s="148" t="s">
        <v>1686</v>
      </c>
      <c r="R273" s="148" t="s">
        <v>1311</v>
      </c>
      <c r="S273" s="148" t="s">
        <v>1687</v>
      </c>
      <c r="T273" s="148"/>
      <c r="U273" s="1" t="s">
        <v>1688</v>
      </c>
      <c r="V273" s="1" t="s">
        <v>1689</v>
      </c>
    </row>
    <row r="274" spans="2:22" ht="15" customHeight="1" x14ac:dyDescent="0.3">
      <c r="B274" s="22">
        <v>267</v>
      </c>
      <c r="C274" s="169" t="s">
        <v>14</v>
      </c>
      <c r="D274" s="1" t="s">
        <v>1682</v>
      </c>
      <c r="E274" s="1" t="s">
        <v>1690</v>
      </c>
      <c r="F274" s="1" t="s">
        <v>390</v>
      </c>
      <c r="G274" s="1" t="s">
        <v>1691</v>
      </c>
      <c r="H274" s="1" t="s">
        <v>1692</v>
      </c>
      <c r="I274" s="1" t="s">
        <v>51</v>
      </c>
      <c r="J274" s="1">
        <v>2000</v>
      </c>
      <c r="K274" s="1"/>
      <c r="L274" s="1">
        <v>200</v>
      </c>
      <c r="M274" s="1"/>
      <c r="N274" s="1">
        <v>200</v>
      </c>
      <c r="O274" s="204" t="s">
        <v>846</v>
      </c>
      <c r="P274" s="148"/>
      <c r="Q274" s="148" t="s">
        <v>1686</v>
      </c>
      <c r="R274" s="148" t="s">
        <v>1311</v>
      </c>
      <c r="S274" s="148" t="s">
        <v>1687</v>
      </c>
      <c r="T274" s="148"/>
      <c r="U274" s="1" t="s">
        <v>1693</v>
      </c>
      <c r="V274" s="1" t="s">
        <v>1694</v>
      </c>
    </row>
    <row r="275" spans="2:22" ht="15" customHeight="1" x14ac:dyDescent="0.3">
      <c r="B275" s="22">
        <v>268</v>
      </c>
      <c r="C275" s="169" t="s">
        <v>14</v>
      </c>
      <c r="D275" s="1" t="s">
        <v>1682</v>
      </c>
      <c r="E275" s="1" t="s">
        <v>1695</v>
      </c>
      <c r="F275" s="1" t="s">
        <v>390</v>
      </c>
      <c r="G275" s="1" t="s">
        <v>1696</v>
      </c>
      <c r="H275" s="1" t="s">
        <v>1697</v>
      </c>
      <c r="I275" s="1" t="s">
        <v>51</v>
      </c>
      <c r="J275" s="1">
        <v>2019</v>
      </c>
      <c r="K275" s="1"/>
      <c r="L275" s="1">
        <v>200</v>
      </c>
      <c r="M275" s="1"/>
      <c r="N275" s="1">
        <v>200</v>
      </c>
      <c r="O275" s="204" t="s">
        <v>846</v>
      </c>
      <c r="P275" s="148"/>
      <c r="Q275" s="148" t="s">
        <v>1686</v>
      </c>
      <c r="R275" s="148" t="s">
        <v>1311</v>
      </c>
      <c r="S275" s="148" t="s">
        <v>1687</v>
      </c>
      <c r="T275" s="148"/>
      <c r="U275" s="1" t="s">
        <v>1688</v>
      </c>
      <c r="V275" s="1" t="s">
        <v>1689</v>
      </c>
    </row>
    <row r="276" spans="2:22" ht="15" customHeight="1" x14ac:dyDescent="0.3">
      <c r="B276" s="22">
        <v>269</v>
      </c>
      <c r="C276" s="169" t="s">
        <v>14</v>
      </c>
      <c r="D276" s="1" t="s">
        <v>1698</v>
      </c>
      <c r="E276" s="1" t="s">
        <v>1699</v>
      </c>
      <c r="F276" s="1" t="s">
        <v>390</v>
      </c>
      <c r="G276" s="1" t="s">
        <v>422</v>
      </c>
      <c r="H276" s="1" t="s">
        <v>1700</v>
      </c>
      <c r="I276" s="1" t="s">
        <v>51</v>
      </c>
      <c r="J276" s="1">
        <v>2001</v>
      </c>
      <c r="K276" s="1">
        <v>0</v>
      </c>
      <c r="L276" s="1">
        <v>200</v>
      </c>
      <c r="M276" s="1">
        <v>0</v>
      </c>
      <c r="N276" s="1">
        <v>200</v>
      </c>
      <c r="O276" s="204" t="s">
        <v>846</v>
      </c>
      <c r="P276" s="148"/>
      <c r="Q276" s="148" t="s">
        <v>1701</v>
      </c>
      <c r="R276" s="148" t="s">
        <v>395</v>
      </c>
      <c r="S276" s="148" t="s">
        <v>1702</v>
      </c>
      <c r="T276" s="148"/>
      <c r="U276" s="1" t="s">
        <v>1703</v>
      </c>
      <c r="V276" s="1" t="s">
        <v>1704</v>
      </c>
    </row>
    <row r="277" spans="2:22" ht="15" customHeight="1" x14ac:dyDescent="0.3">
      <c r="B277" s="22">
        <v>270</v>
      </c>
      <c r="C277" s="22" t="s">
        <v>1705</v>
      </c>
      <c r="D277" s="22" t="s">
        <v>1706</v>
      </c>
      <c r="E277" s="22" t="s">
        <v>1707</v>
      </c>
      <c r="F277" s="22" t="s">
        <v>55</v>
      </c>
      <c r="G277" s="22" t="s">
        <v>1708</v>
      </c>
      <c r="H277" s="22" t="s">
        <v>1709</v>
      </c>
      <c r="I277" s="22" t="s">
        <v>67</v>
      </c>
      <c r="J277" s="22">
        <v>2017</v>
      </c>
      <c r="K277" s="80" t="s">
        <v>68</v>
      </c>
      <c r="L277" s="80">
        <v>350</v>
      </c>
      <c r="M277" s="80" t="s">
        <v>68</v>
      </c>
      <c r="N277" s="80">
        <f>SUM(K277:M277)</f>
        <v>350</v>
      </c>
      <c r="O277" s="22" t="s">
        <v>1710</v>
      </c>
      <c r="P277" s="22" t="s">
        <v>932</v>
      </c>
      <c r="Q277" s="22" t="s">
        <v>1711</v>
      </c>
      <c r="R277" s="22" t="s">
        <v>42</v>
      </c>
      <c r="S277" s="124" t="s">
        <v>1712</v>
      </c>
      <c r="T277" s="22" t="s">
        <v>68</v>
      </c>
      <c r="U277" s="22" t="s">
        <v>1713</v>
      </c>
      <c r="V277" s="22" t="s">
        <v>1714</v>
      </c>
    </row>
    <row r="278" spans="2:22" ht="15" customHeight="1" x14ac:dyDescent="0.3">
      <c r="B278" s="22">
        <v>271</v>
      </c>
      <c r="C278" s="22" t="s">
        <v>1705</v>
      </c>
      <c r="D278" s="22" t="s">
        <v>1706</v>
      </c>
      <c r="E278" s="22" t="s">
        <v>1715</v>
      </c>
      <c r="F278" s="22" t="s">
        <v>390</v>
      </c>
      <c r="G278" s="22" t="s">
        <v>1716</v>
      </c>
      <c r="H278" s="22" t="s">
        <v>422</v>
      </c>
      <c r="I278" s="22" t="s">
        <v>67</v>
      </c>
      <c r="J278" s="22">
        <v>2008</v>
      </c>
      <c r="K278" s="80" t="s">
        <v>68</v>
      </c>
      <c r="L278" s="80">
        <v>500</v>
      </c>
      <c r="M278" s="80" t="s">
        <v>68</v>
      </c>
      <c r="N278" s="80">
        <f t="shared" ref="N278:N341" si="6">SUM(K278:M278)</f>
        <v>500</v>
      </c>
      <c r="O278" s="22" t="s">
        <v>932</v>
      </c>
      <c r="P278" s="22" t="s">
        <v>932</v>
      </c>
      <c r="Q278" s="22" t="s">
        <v>1717</v>
      </c>
      <c r="R278" s="22" t="s">
        <v>853</v>
      </c>
      <c r="S278" s="88" t="s">
        <v>68</v>
      </c>
      <c r="T278" s="22" t="s">
        <v>68</v>
      </c>
      <c r="U278" s="22" t="s">
        <v>1713</v>
      </c>
      <c r="V278" s="22" t="s">
        <v>1714</v>
      </c>
    </row>
    <row r="279" spans="2:22" ht="15" customHeight="1" x14ac:dyDescent="0.3">
      <c r="B279" s="22">
        <v>272</v>
      </c>
      <c r="C279" s="22" t="s">
        <v>1705</v>
      </c>
      <c r="D279" s="22" t="s">
        <v>1706</v>
      </c>
      <c r="E279" s="22" t="s">
        <v>1718</v>
      </c>
      <c r="F279" s="22" t="s">
        <v>55</v>
      </c>
      <c r="G279" s="22" t="s">
        <v>1719</v>
      </c>
      <c r="H279" s="22" t="s">
        <v>1720</v>
      </c>
      <c r="I279" s="22" t="s">
        <v>51</v>
      </c>
      <c r="J279" s="22">
        <v>2022</v>
      </c>
      <c r="K279" s="80" t="s">
        <v>68</v>
      </c>
      <c r="L279" s="80">
        <v>1500</v>
      </c>
      <c r="M279" s="80" t="s">
        <v>68</v>
      </c>
      <c r="N279" s="80">
        <f t="shared" si="6"/>
        <v>1500</v>
      </c>
      <c r="O279" s="22" t="s">
        <v>1721</v>
      </c>
      <c r="P279" s="22" t="s">
        <v>1721</v>
      </c>
      <c r="Q279" s="22" t="s">
        <v>1722</v>
      </c>
      <c r="R279" s="22" t="s">
        <v>732</v>
      </c>
      <c r="S279" s="88" t="s">
        <v>68</v>
      </c>
      <c r="T279" s="22" t="s">
        <v>68</v>
      </c>
      <c r="U279" s="22" t="s">
        <v>1713</v>
      </c>
      <c r="V279" s="22" t="s">
        <v>1714</v>
      </c>
    </row>
    <row r="280" spans="2:22" ht="15" customHeight="1" x14ac:dyDescent="0.3">
      <c r="B280" s="22">
        <v>273</v>
      </c>
      <c r="C280" s="22" t="s">
        <v>1705</v>
      </c>
      <c r="D280" s="22" t="s">
        <v>1706</v>
      </c>
      <c r="E280" s="22" t="s">
        <v>1723</v>
      </c>
      <c r="F280" s="22" t="s">
        <v>55</v>
      </c>
      <c r="G280" s="22" t="s">
        <v>1724</v>
      </c>
      <c r="H280" s="22" t="s">
        <v>422</v>
      </c>
      <c r="I280" s="22" t="s">
        <v>51</v>
      </c>
      <c r="J280" s="22">
        <v>1989</v>
      </c>
      <c r="K280" s="80">
        <v>30</v>
      </c>
      <c r="L280" s="80">
        <v>609</v>
      </c>
      <c r="M280" s="80">
        <v>20</v>
      </c>
      <c r="N280" s="80">
        <f t="shared" si="6"/>
        <v>659</v>
      </c>
      <c r="O280" s="22" t="s">
        <v>1725</v>
      </c>
      <c r="P280" s="36" t="s">
        <v>932</v>
      </c>
      <c r="Q280" s="22" t="s">
        <v>1726</v>
      </c>
      <c r="R280" s="22" t="s">
        <v>173</v>
      </c>
      <c r="S280" s="88" t="s">
        <v>68</v>
      </c>
      <c r="T280" s="22" t="s">
        <v>43</v>
      </c>
      <c r="U280" s="22" t="s">
        <v>1727</v>
      </c>
      <c r="V280" s="22" t="s">
        <v>1728</v>
      </c>
    </row>
    <row r="281" spans="2:22" ht="15" customHeight="1" x14ac:dyDescent="0.3">
      <c r="B281" s="22">
        <v>274</v>
      </c>
      <c r="C281" s="22" t="s">
        <v>1705</v>
      </c>
      <c r="D281" s="22" t="s">
        <v>1706</v>
      </c>
      <c r="E281" s="22" t="s">
        <v>1729</v>
      </c>
      <c r="F281" s="22" t="s">
        <v>55</v>
      </c>
      <c r="G281" s="22" t="s">
        <v>1730</v>
      </c>
      <c r="H281" s="22" t="s">
        <v>1731</v>
      </c>
      <c r="I281" s="22" t="s">
        <v>67</v>
      </c>
      <c r="J281" s="22">
        <v>1989</v>
      </c>
      <c r="K281" s="80">
        <v>850</v>
      </c>
      <c r="L281" s="80">
        <v>650</v>
      </c>
      <c r="M281" s="80" t="s">
        <v>422</v>
      </c>
      <c r="N281" s="80">
        <f t="shared" si="6"/>
        <v>1500</v>
      </c>
      <c r="O281" s="22" t="s">
        <v>1732</v>
      </c>
      <c r="P281" s="36" t="s">
        <v>932</v>
      </c>
      <c r="Q281" s="5" t="s">
        <v>1733</v>
      </c>
      <c r="R281" s="5" t="s">
        <v>42</v>
      </c>
      <c r="S281" s="88" t="s">
        <v>68</v>
      </c>
      <c r="T281" s="5" t="s">
        <v>43</v>
      </c>
      <c r="U281" s="5" t="s">
        <v>1734</v>
      </c>
      <c r="V281" s="5" t="s">
        <v>1735</v>
      </c>
    </row>
    <row r="282" spans="2:22" ht="15" customHeight="1" x14ac:dyDescent="0.3">
      <c r="B282" s="22">
        <v>275</v>
      </c>
      <c r="C282" s="22" t="s">
        <v>1705</v>
      </c>
      <c r="D282" s="22" t="s">
        <v>1706</v>
      </c>
      <c r="E282" s="22" t="s">
        <v>1736</v>
      </c>
      <c r="F282" s="22" t="s">
        <v>55</v>
      </c>
      <c r="G282" s="22" t="s">
        <v>1737</v>
      </c>
      <c r="H282" s="22" t="s">
        <v>1738</v>
      </c>
      <c r="I282" s="22" t="s">
        <v>67</v>
      </c>
      <c r="J282" s="22">
        <v>1993</v>
      </c>
      <c r="K282" s="80" t="s">
        <v>68</v>
      </c>
      <c r="L282" s="80">
        <v>270</v>
      </c>
      <c r="M282" s="80" t="s">
        <v>422</v>
      </c>
      <c r="N282" s="80">
        <f t="shared" si="6"/>
        <v>270</v>
      </c>
      <c r="O282" s="22" t="s">
        <v>1739</v>
      </c>
      <c r="P282" s="22" t="s">
        <v>932</v>
      </c>
      <c r="Q282" s="22" t="s">
        <v>1740</v>
      </c>
      <c r="R282" s="22" t="s">
        <v>173</v>
      </c>
      <c r="S282" s="88" t="s">
        <v>68</v>
      </c>
      <c r="T282" s="22" t="s">
        <v>68</v>
      </c>
      <c r="U282" s="22" t="s">
        <v>1741</v>
      </c>
      <c r="V282" s="22" t="s">
        <v>1742</v>
      </c>
    </row>
    <row r="283" spans="2:22" ht="15" customHeight="1" x14ac:dyDescent="0.3">
      <c r="B283" s="22">
        <v>276</v>
      </c>
      <c r="C283" s="22" t="s">
        <v>1705</v>
      </c>
      <c r="D283" s="22" t="s">
        <v>1706</v>
      </c>
      <c r="E283" s="22" t="s">
        <v>1743</v>
      </c>
      <c r="F283" s="22" t="s">
        <v>55</v>
      </c>
      <c r="G283" s="22" t="s">
        <v>1744</v>
      </c>
      <c r="H283" s="22" t="s">
        <v>1745</v>
      </c>
      <c r="I283" s="118" t="s">
        <v>67</v>
      </c>
      <c r="J283" s="22">
        <v>1994</v>
      </c>
      <c r="K283" s="80" t="s">
        <v>68</v>
      </c>
      <c r="L283" s="80">
        <v>110</v>
      </c>
      <c r="M283" s="80" t="s">
        <v>422</v>
      </c>
      <c r="N283" s="80">
        <f t="shared" si="6"/>
        <v>110</v>
      </c>
      <c r="O283" s="22" t="s">
        <v>1746</v>
      </c>
      <c r="P283" s="22" t="s">
        <v>932</v>
      </c>
      <c r="Q283" s="22" t="s">
        <v>1747</v>
      </c>
      <c r="R283" s="22" t="s">
        <v>173</v>
      </c>
      <c r="S283" s="88" t="s">
        <v>68</v>
      </c>
      <c r="T283" s="22" t="s">
        <v>68</v>
      </c>
      <c r="U283" s="22" t="s">
        <v>1748</v>
      </c>
      <c r="V283" s="22" t="s">
        <v>1749</v>
      </c>
    </row>
    <row r="284" spans="2:22" ht="15" customHeight="1" x14ac:dyDescent="0.3">
      <c r="B284" s="22">
        <v>277</v>
      </c>
      <c r="C284" s="22" t="s">
        <v>1705</v>
      </c>
      <c r="D284" s="36" t="s">
        <v>1706</v>
      </c>
      <c r="E284" s="36" t="s">
        <v>1750</v>
      </c>
      <c r="F284" s="36" t="s">
        <v>55</v>
      </c>
      <c r="G284" s="36" t="s">
        <v>1751</v>
      </c>
      <c r="H284" s="36" t="s">
        <v>1709</v>
      </c>
      <c r="I284" s="36" t="s">
        <v>67</v>
      </c>
      <c r="J284" s="36">
        <v>1997</v>
      </c>
      <c r="K284" s="80" t="s">
        <v>68</v>
      </c>
      <c r="L284" s="96">
        <v>200</v>
      </c>
      <c r="M284" s="96" t="s">
        <v>68</v>
      </c>
      <c r="N284" s="80">
        <f t="shared" si="6"/>
        <v>200</v>
      </c>
      <c r="O284" s="36" t="s">
        <v>1752</v>
      </c>
      <c r="P284" s="36" t="s">
        <v>932</v>
      </c>
      <c r="Q284" s="36" t="s">
        <v>1711</v>
      </c>
      <c r="R284" s="36" t="s">
        <v>42</v>
      </c>
      <c r="S284" s="124" t="s">
        <v>1712</v>
      </c>
      <c r="T284" s="36" t="s">
        <v>68</v>
      </c>
      <c r="U284" s="36" t="s">
        <v>1753</v>
      </c>
      <c r="V284" s="36" t="s">
        <v>1754</v>
      </c>
    </row>
    <row r="285" spans="2:22" ht="15" customHeight="1" x14ac:dyDescent="0.3">
      <c r="B285" s="22">
        <v>278</v>
      </c>
      <c r="C285" s="22" t="s">
        <v>1705</v>
      </c>
      <c r="D285" s="35" t="s">
        <v>1755</v>
      </c>
      <c r="E285" s="19" t="s">
        <v>1756</v>
      </c>
      <c r="F285" s="19" t="s">
        <v>95</v>
      </c>
      <c r="G285" s="19" t="s">
        <v>1757</v>
      </c>
      <c r="H285" s="19" t="s">
        <v>1758</v>
      </c>
      <c r="I285" s="19" t="s">
        <v>51</v>
      </c>
      <c r="J285" s="15">
        <v>2019</v>
      </c>
      <c r="K285" s="80" t="s">
        <v>68</v>
      </c>
      <c r="L285" s="97">
        <v>10</v>
      </c>
      <c r="M285" s="96" t="s">
        <v>68</v>
      </c>
      <c r="N285" s="80">
        <f t="shared" si="6"/>
        <v>10</v>
      </c>
      <c r="O285" s="98" t="s">
        <v>1759</v>
      </c>
      <c r="P285" s="98" t="s">
        <v>1759</v>
      </c>
      <c r="Q285" s="19" t="s">
        <v>1760</v>
      </c>
      <c r="R285" s="19" t="s">
        <v>1311</v>
      </c>
      <c r="S285" s="135" t="s">
        <v>68</v>
      </c>
      <c r="T285" s="36" t="s">
        <v>68</v>
      </c>
      <c r="U285" s="19" t="s">
        <v>1761</v>
      </c>
      <c r="V285" s="15" t="s">
        <v>1762</v>
      </c>
    </row>
    <row r="286" spans="2:22" ht="15" customHeight="1" x14ac:dyDescent="0.3">
      <c r="B286" s="22">
        <v>279</v>
      </c>
      <c r="C286" s="22" t="s">
        <v>1705</v>
      </c>
      <c r="D286" s="35" t="s">
        <v>1755</v>
      </c>
      <c r="E286" s="19" t="s">
        <v>1763</v>
      </c>
      <c r="F286" s="19" t="s">
        <v>390</v>
      </c>
      <c r="G286" s="19" t="s">
        <v>1764</v>
      </c>
      <c r="H286" s="19" t="s">
        <v>1765</v>
      </c>
      <c r="I286" s="19" t="s">
        <v>67</v>
      </c>
      <c r="J286" s="15">
        <v>1999</v>
      </c>
      <c r="K286" s="80" t="s">
        <v>68</v>
      </c>
      <c r="L286" s="97">
        <v>230</v>
      </c>
      <c r="M286" s="96" t="s">
        <v>68</v>
      </c>
      <c r="N286" s="80">
        <f t="shared" si="6"/>
        <v>230</v>
      </c>
      <c r="O286" s="98" t="s">
        <v>1766</v>
      </c>
      <c r="P286" s="98" t="s">
        <v>1767</v>
      </c>
      <c r="Q286" s="19" t="s">
        <v>1768</v>
      </c>
      <c r="R286" s="19" t="s">
        <v>173</v>
      </c>
      <c r="S286" s="135" t="s">
        <v>68</v>
      </c>
      <c r="T286" s="36" t="s">
        <v>68</v>
      </c>
      <c r="U286" s="19" t="s">
        <v>1761</v>
      </c>
      <c r="V286" s="19" t="s">
        <v>1762</v>
      </c>
    </row>
    <row r="287" spans="2:22" ht="15" customHeight="1" x14ac:dyDescent="0.3">
      <c r="B287" s="22">
        <v>280</v>
      </c>
      <c r="C287" s="22" t="s">
        <v>1705</v>
      </c>
      <c r="D287" s="35" t="s">
        <v>1755</v>
      </c>
      <c r="E287" s="19" t="s">
        <v>1769</v>
      </c>
      <c r="F287" s="19" t="s">
        <v>95</v>
      </c>
      <c r="G287" s="19" t="s">
        <v>1770</v>
      </c>
      <c r="H287" s="19" t="s">
        <v>1771</v>
      </c>
      <c r="I287" s="19" t="s">
        <v>51</v>
      </c>
      <c r="J287" s="15">
        <v>2008</v>
      </c>
      <c r="K287" s="80" t="s">
        <v>68</v>
      </c>
      <c r="L287" s="97">
        <v>20</v>
      </c>
      <c r="M287" s="96" t="s">
        <v>68</v>
      </c>
      <c r="N287" s="80">
        <f t="shared" si="6"/>
        <v>20</v>
      </c>
      <c r="O287" s="98" t="s">
        <v>1772</v>
      </c>
      <c r="P287" s="98" t="s">
        <v>1767</v>
      </c>
      <c r="Q287" s="19" t="s">
        <v>1773</v>
      </c>
      <c r="R287" s="19" t="s">
        <v>1311</v>
      </c>
      <c r="S287" s="135" t="s">
        <v>68</v>
      </c>
      <c r="T287" s="36" t="s">
        <v>68</v>
      </c>
      <c r="U287" s="19" t="s">
        <v>1761</v>
      </c>
      <c r="V287" s="15" t="s">
        <v>1762</v>
      </c>
    </row>
    <row r="288" spans="2:22" ht="15" customHeight="1" x14ac:dyDescent="0.3">
      <c r="B288" s="22">
        <v>281</v>
      </c>
      <c r="C288" s="22" t="s">
        <v>1705</v>
      </c>
      <c r="D288" s="35" t="s">
        <v>1755</v>
      </c>
      <c r="E288" s="19" t="s">
        <v>1774</v>
      </c>
      <c r="F288" s="19" t="s">
        <v>95</v>
      </c>
      <c r="G288" s="19" t="s">
        <v>1724</v>
      </c>
      <c r="H288" s="19" t="s">
        <v>1775</v>
      </c>
      <c r="I288" s="19" t="s">
        <v>51</v>
      </c>
      <c r="J288" s="15">
        <v>1999</v>
      </c>
      <c r="K288" s="80" t="s">
        <v>68</v>
      </c>
      <c r="L288" s="97">
        <v>10</v>
      </c>
      <c r="M288" s="96" t="s">
        <v>68</v>
      </c>
      <c r="N288" s="80">
        <f t="shared" si="6"/>
        <v>10</v>
      </c>
      <c r="O288" s="98" t="s">
        <v>1759</v>
      </c>
      <c r="P288" s="98" t="s">
        <v>1759</v>
      </c>
      <c r="Q288" s="19" t="s">
        <v>1776</v>
      </c>
      <c r="R288" s="19" t="s">
        <v>1311</v>
      </c>
      <c r="S288" s="135" t="s">
        <v>68</v>
      </c>
      <c r="T288" s="36" t="s">
        <v>68</v>
      </c>
      <c r="U288" s="19" t="s">
        <v>1761</v>
      </c>
      <c r="V288" s="15" t="s">
        <v>1762</v>
      </c>
    </row>
    <row r="289" spans="2:22" ht="15" customHeight="1" x14ac:dyDescent="0.3">
      <c r="B289" s="22">
        <v>282</v>
      </c>
      <c r="C289" s="22" t="s">
        <v>1705</v>
      </c>
      <c r="D289" s="35" t="s">
        <v>1755</v>
      </c>
      <c r="E289" s="19" t="s">
        <v>1777</v>
      </c>
      <c r="F289" s="19" t="s">
        <v>95</v>
      </c>
      <c r="G289" s="19" t="s">
        <v>1778</v>
      </c>
      <c r="H289" s="19" t="s">
        <v>1779</v>
      </c>
      <c r="I289" s="19" t="s">
        <v>51</v>
      </c>
      <c r="J289" s="15">
        <v>2008</v>
      </c>
      <c r="K289" s="80" t="s">
        <v>68</v>
      </c>
      <c r="L289" s="97">
        <v>10</v>
      </c>
      <c r="M289" s="96" t="s">
        <v>68</v>
      </c>
      <c r="N289" s="80">
        <f t="shared" si="6"/>
        <v>10</v>
      </c>
      <c r="O289" s="98" t="s">
        <v>1759</v>
      </c>
      <c r="P289" s="98" t="s">
        <v>1759</v>
      </c>
      <c r="Q289" s="19" t="s">
        <v>1780</v>
      </c>
      <c r="R289" s="19" t="s">
        <v>1311</v>
      </c>
      <c r="S289" s="135" t="s">
        <v>68</v>
      </c>
      <c r="T289" s="36" t="s">
        <v>68</v>
      </c>
      <c r="U289" s="19" t="s">
        <v>1761</v>
      </c>
      <c r="V289" s="15" t="s">
        <v>1762</v>
      </c>
    </row>
    <row r="290" spans="2:22" ht="15" customHeight="1" x14ac:dyDescent="0.3">
      <c r="B290" s="22">
        <v>283</v>
      </c>
      <c r="C290" s="22" t="s">
        <v>1705</v>
      </c>
      <c r="D290" s="35" t="s">
        <v>1755</v>
      </c>
      <c r="E290" s="19" t="s">
        <v>1781</v>
      </c>
      <c r="F290" s="19" t="s">
        <v>390</v>
      </c>
      <c r="G290" s="19" t="s">
        <v>1782</v>
      </c>
      <c r="H290" s="19" t="s">
        <v>1783</v>
      </c>
      <c r="I290" s="19" t="s">
        <v>51</v>
      </c>
      <c r="J290" s="15">
        <v>2012</v>
      </c>
      <c r="K290" s="80" t="s">
        <v>68</v>
      </c>
      <c r="L290" s="97">
        <v>20</v>
      </c>
      <c r="M290" s="97">
        <v>50</v>
      </c>
      <c r="N290" s="80">
        <f t="shared" si="6"/>
        <v>70</v>
      </c>
      <c r="O290" s="98" t="s">
        <v>1766</v>
      </c>
      <c r="P290" s="98" t="s">
        <v>1767</v>
      </c>
      <c r="Q290" s="19" t="s">
        <v>1784</v>
      </c>
      <c r="R290" s="19" t="s">
        <v>1394</v>
      </c>
      <c r="S290" s="135" t="s">
        <v>68</v>
      </c>
      <c r="T290" s="36" t="s">
        <v>68</v>
      </c>
      <c r="U290" s="19" t="s">
        <v>1785</v>
      </c>
      <c r="V290" s="19" t="s">
        <v>1786</v>
      </c>
    </row>
    <row r="291" spans="2:22" ht="15" customHeight="1" x14ac:dyDescent="0.3">
      <c r="B291" s="22">
        <v>284</v>
      </c>
      <c r="C291" s="22" t="s">
        <v>1705</v>
      </c>
      <c r="D291" s="35" t="s">
        <v>1755</v>
      </c>
      <c r="E291" s="19" t="s">
        <v>1787</v>
      </c>
      <c r="F291" s="19" t="s">
        <v>390</v>
      </c>
      <c r="G291" s="19" t="s">
        <v>1788</v>
      </c>
      <c r="H291" s="19" t="s">
        <v>1789</v>
      </c>
      <c r="I291" s="19" t="s">
        <v>51</v>
      </c>
      <c r="J291" s="15">
        <v>1999</v>
      </c>
      <c r="K291" s="80" t="s">
        <v>68</v>
      </c>
      <c r="L291" s="97">
        <v>30</v>
      </c>
      <c r="M291" s="97" t="s">
        <v>68</v>
      </c>
      <c r="N291" s="80">
        <f t="shared" si="6"/>
        <v>30</v>
      </c>
      <c r="O291" s="98" t="s">
        <v>1759</v>
      </c>
      <c r="P291" s="98" t="s">
        <v>1759</v>
      </c>
      <c r="Q291" s="19" t="s">
        <v>1790</v>
      </c>
      <c r="R291" s="19" t="s">
        <v>1394</v>
      </c>
      <c r="S291" s="135" t="s">
        <v>68</v>
      </c>
      <c r="T291" s="36" t="s">
        <v>68</v>
      </c>
      <c r="U291" s="19" t="s">
        <v>1785</v>
      </c>
      <c r="V291" s="19" t="s">
        <v>1786</v>
      </c>
    </row>
    <row r="292" spans="2:22" ht="15" customHeight="1" x14ac:dyDescent="0.3">
      <c r="B292" s="22">
        <v>285</v>
      </c>
      <c r="C292" s="22" t="s">
        <v>1705</v>
      </c>
      <c r="D292" s="22" t="s">
        <v>1755</v>
      </c>
      <c r="E292" s="22" t="s">
        <v>1791</v>
      </c>
      <c r="F292" s="8" t="s">
        <v>1792</v>
      </c>
      <c r="G292" s="22" t="s">
        <v>1793</v>
      </c>
      <c r="H292" s="8" t="s">
        <v>1794</v>
      </c>
      <c r="I292" s="22" t="s">
        <v>67</v>
      </c>
      <c r="J292" s="22">
        <v>2022</v>
      </c>
      <c r="K292" s="99">
        <v>300</v>
      </c>
      <c r="L292" s="99">
        <v>500</v>
      </c>
      <c r="M292" s="97" t="s">
        <v>68</v>
      </c>
      <c r="N292" s="80">
        <f t="shared" si="6"/>
        <v>800</v>
      </c>
      <c r="O292" s="98" t="s">
        <v>1721</v>
      </c>
      <c r="P292" s="98" t="s">
        <v>1721</v>
      </c>
      <c r="Q292" s="22" t="s">
        <v>1795</v>
      </c>
      <c r="R292" s="22" t="s">
        <v>732</v>
      </c>
      <c r="S292" s="135" t="s">
        <v>68</v>
      </c>
      <c r="T292" s="22" t="s">
        <v>43</v>
      </c>
      <c r="U292" s="22" t="s">
        <v>1796</v>
      </c>
      <c r="V292" s="22" t="s">
        <v>1797</v>
      </c>
    </row>
    <row r="293" spans="2:22" ht="15" customHeight="1" x14ac:dyDescent="0.3">
      <c r="B293" s="22">
        <v>286</v>
      </c>
      <c r="C293" s="22" t="s">
        <v>1705</v>
      </c>
      <c r="D293" s="35" t="s">
        <v>1755</v>
      </c>
      <c r="E293" s="35" t="s">
        <v>1798</v>
      </c>
      <c r="F293" s="15" t="s">
        <v>1792</v>
      </c>
      <c r="G293" s="35" t="s">
        <v>1799</v>
      </c>
      <c r="H293" s="35" t="s">
        <v>1800</v>
      </c>
      <c r="I293" s="15" t="s">
        <v>51</v>
      </c>
      <c r="J293" s="35">
        <v>2011</v>
      </c>
      <c r="K293" s="100">
        <v>30</v>
      </c>
      <c r="L293" s="101">
        <v>1780</v>
      </c>
      <c r="M293" s="97" t="s">
        <v>68</v>
      </c>
      <c r="N293" s="80">
        <f t="shared" si="6"/>
        <v>1810</v>
      </c>
      <c r="O293" s="102" t="s">
        <v>1801</v>
      </c>
      <c r="P293" s="102" t="s">
        <v>932</v>
      </c>
      <c r="Q293" s="35" t="s">
        <v>1802</v>
      </c>
      <c r="R293" s="35" t="s">
        <v>42</v>
      </c>
      <c r="S293" s="136" t="s">
        <v>1803</v>
      </c>
      <c r="T293" s="35" t="s">
        <v>43</v>
      </c>
      <c r="U293" s="15" t="s">
        <v>1761</v>
      </c>
      <c r="V293" s="15" t="s">
        <v>1762</v>
      </c>
    </row>
    <row r="294" spans="2:22" ht="15" customHeight="1" x14ac:dyDescent="0.3">
      <c r="B294" s="22">
        <v>287</v>
      </c>
      <c r="C294" s="22" t="s">
        <v>1705</v>
      </c>
      <c r="D294" s="35" t="s">
        <v>1755</v>
      </c>
      <c r="E294" s="19" t="s">
        <v>1804</v>
      </c>
      <c r="F294" s="19" t="s">
        <v>50</v>
      </c>
      <c r="G294" s="19" t="s">
        <v>1805</v>
      </c>
      <c r="H294" s="19" t="s">
        <v>1789</v>
      </c>
      <c r="I294" s="19" t="s">
        <v>51</v>
      </c>
      <c r="J294" s="15">
        <v>2003</v>
      </c>
      <c r="K294" s="97" t="s">
        <v>68</v>
      </c>
      <c r="L294" s="97">
        <v>500</v>
      </c>
      <c r="M294" s="97" t="s">
        <v>68</v>
      </c>
      <c r="N294" s="80">
        <f t="shared" si="6"/>
        <v>500</v>
      </c>
      <c r="O294" s="98" t="s">
        <v>1759</v>
      </c>
      <c r="P294" s="98" t="s">
        <v>1759</v>
      </c>
      <c r="Q294" s="19" t="s">
        <v>1806</v>
      </c>
      <c r="R294" s="19" t="s">
        <v>1394</v>
      </c>
      <c r="S294" s="135" t="s">
        <v>68</v>
      </c>
      <c r="T294" s="19" t="s">
        <v>68</v>
      </c>
      <c r="U294" s="19" t="s">
        <v>1807</v>
      </c>
      <c r="V294" s="19" t="s">
        <v>1808</v>
      </c>
    </row>
    <row r="295" spans="2:22" ht="15" customHeight="1" x14ac:dyDescent="0.3">
      <c r="B295" s="22">
        <v>288</v>
      </c>
      <c r="C295" s="22" t="s">
        <v>1705</v>
      </c>
      <c r="D295" s="35" t="s">
        <v>1755</v>
      </c>
      <c r="E295" s="19" t="s">
        <v>1809</v>
      </c>
      <c r="F295" s="19" t="s">
        <v>55</v>
      </c>
      <c r="G295" s="19" t="s">
        <v>1810</v>
      </c>
      <c r="H295" s="19" t="s">
        <v>1811</v>
      </c>
      <c r="I295" s="19" t="s">
        <v>51</v>
      </c>
      <c r="J295" s="15">
        <v>2018</v>
      </c>
      <c r="K295" s="97" t="s">
        <v>68</v>
      </c>
      <c r="L295" s="97">
        <v>80</v>
      </c>
      <c r="M295" s="97" t="s">
        <v>68</v>
      </c>
      <c r="N295" s="80">
        <f t="shared" si="6"/>
        <v>80</v>
      </c>
      <c r="O295" s="98" t="s">
        <v>1812</v>
      </c>
      <c r="P295" s="98" t="s">
        <v>1813</v>
      </c>
      <c r="Q295" s="19" t="s">
        <v>1814</v>
      </c>
      <c r="R295" s="19" t="s">
        <v>173</v>
      </c>
      <c r="S295" s="135" t="s">
        <v>68</v>
      </c>
      <c r="T295" s="19" t="s">
        <v>68</v>
      </c>
      <c r="U295" s="19" t="s">
        <v>1815</v>
      </c>
      <c r="V295" s="19" t="s">
        <v>1816</v>
      </c>
    </row>
    <row r="296" spans="2:22" ht="15" customHeight="1" x14ac:dyDescent="0.3">
      <c r="B296" s="22">
        <v>289</v>
      </c>
      <c r="C296" s="22" t="s">
        <v>1705</v>
      </c>
      <c r="D296" s="35" t="s">
        <v>1755</v>
      </c>
      <c r="E296" s="15" t="s">
        <v>1817</v>
      </c>
      <c r="F296" s="15" t="s">
        <v>390</v>
      </c>
      <c r="G296" s="15" t="s">
        <v>1818</v>
      </c>
      <c r="H296" s="15" t="s">
        <v>1819</v>
      </c>
      <c r="I296" s="15" t="s">
        <v>51</v>
      </c>
      <c r="J296" s="15">
        <v>2015</v>
      </c>
      <c r="K296" s="97" t="s">
        <v>68</v>
      </c>
      <c r="L296" s="97">
        <v>80</v>
      </c>
      <c r="M296" s="97" t="s">
        <v>68</v>
      </c>
      <c r="N296" s="80">
        <f t="shared" si="6"/>
        <v>80</v>
      </c>
      <c r="O296" s="98" t="s">
        <v>1759</v>
      </c>
      <c r="P296" s="98" t="s">
        <v>1759</v>
      </c>
      <c r="Q296" s="15" t="s">
        <v>1820</v>
      </c>
      <c r="R296" s="15" t="s">
        <v>732</v>
      </c>
      <c r="S296" s="135" t="s">
        <v>68</v>
      </c>
      <c r="T296" s="19" t="s">
        <v>68</v>
      </c>
      <c r="U296" s="15" t="s">
        <v>1821</v>
      </c>
      <c r="V296" s="15" t="s">
        <v>1822</v>
      </c>
    </row>
    <row r="297" spans="2:22" ht="15" customHeight="1" x14ac:dyDescent="0.3">
      <c r="B297" s="22">
        <v>290</v>
      </c>
      <c r="C297" s="22" t="s">
        <v>1705</v>
      </c>
      <c r="D297" s="35" t="s">
        <v>1755</v>
      </c>
      <c r="E297" s="19" t="s">
        <v>1823</v>
      </c>
      <c r="F297" s="19" t="s">
        <v>86</v>
      </c>
      <c r="G297" s="19" t="s">
        <v>1824</v>
      </c>
      <c r="H297" s="19" t="s">
        <v>1825</v>
      </c>
      <c r="I297" s="19" t="s">
        <v>51</v>
      </c>
      <c r="J297" s="15">
        <v>2021</v>
      </c>
      <c r="K297" s="97" t="s">
        <v>68</v>
      </c>
      <c r="L297" s="97">
        <v>45</v>
      </c>
      <c r="M297" s="97" t="s">
        <v>68</v>
      </c>
      <c r="N297" s="80">
        <f t="shared" si="6"/>
        <v>45</v>
      </c>
      <c r="O297" s="98" t="s">
        <v>1746</v>
      </c>
      <c r="P297" s="98" t="s">
        <v>932</v>
      </c>
      <c r="Q297" s="19" t="s">
        <v>1826</v>
      </c>
      <c r="R297" s="19" t="s">
        <v>732</v>
      </c>
      <c r="S297" s="135" t="s">
        <v>68</v>
      </c>
      <c r="T297" s="19" t="s">
        <v>68</v>
      </c>
      <c r="U297" s="19" t="s">
        <v>1827</v>
      </c>
      <c r="V297" s="19" t="s">
        <v>1828</v>
      </c>
    </row>
    <row r="298" spans="2:22" ht="15" customHeight="1" x14ac:dyDescent="0.3">
      <c r="B298" s="22">
        <v>291</v>
      </c>
      <c r="C298" s="22" t="s">
        <v>1705</v>
      </c>
      <c r="D298" s="35" t="s">
        <v>1755</v>
      </c>
      <c r="E298" s="19" t="s">
        <v>1829</v>
      </c>
      <c r="F298" s="19" t="s">
        <v>55</v>
      </c>
      <c r="G298" s="19" t="s">
        <v>1818</v>
      </c>
      <c r="H298" s="19" t="s">
        <v>1830</v>
      </c>
      <c r="I298" s="19" t="s">
        <v>67</v>
      </c>
      <c r="J298" s="15">
        <v>2021</v>
      </c>
      <c r="K298" s="97" t="s">
        <v>68</v>
      </c>
      <c r="L298" s="97">
        <v>300</v>
      </c>
      <c r="M298" s="97" t="s">
        <v>68</v>
      </c>
      <c r="N298" s="80">
        <f t="shared" si="6"/>
        <v>300</v>
      </c>
      <c r="O298" s="98" t="s">
        <v>1831</v>
      </c>
      <c r="P298" s="98" t="s">
        <v>932</v>
      </c>
      <c r="Q298" s="19" t="s">
        <v>1802</v>
      </c>
      <c r="R298" s="19" t="s">
        <v>42</v>
      </c>
      <c r="S298" s="136" t="s">
        <v>1803</v>
      </c>
      <c r="T298" s="19" t="s">
        <v>68</v>
      </c>
      <c r="U298" s="19" t="s">
        <v>1832</v>
      </c>
      <c r="V298" s="19" t="s">
        <v>1833</v>
      </c>
    </row>
    <row r="299" spans="2:22" ht="15" customHeight="1" x14ac:dyDescent="0.3">
      <c r="B299" s="22">
        <v>292</v>
      </c>
      <c r="C299" s="22" t="s">
        <v>1705</v>
      </c>
      <c r="D299" s="35" t="s">
        <v>1755</v>
      </c>
      <c r="E299" s="19" t="s">
        <v>1834</v>
      </c>
      <c r="F299" s="19" t="s">
        <v>390</v>
      </c>
      <c r="G299" s="19" t="s">
        <v>1835</v>
      </c>
      <c r="H299" s="19" t="s">
        <v>1836</v>
      </c>
      <c r="I299" s="19" t="s">
        <v>51</v>
      </c>
      <c r="J299" s="15">
        <v>1998</v>
      </c>
      <c r="K299" s="97" t="s">
        <v>68</v>
      </c>
      <c r="L299" s="97">
        <v>20</v>
      </c>
      <c r="M299" s="97" t="s">
        <v>68</v>
      </c>
      <c r="N299" s="80">
        <f t="shared" si="6"/>
        <v>20</v>
      </c>
      <c r="O299" s="98" t="s">
        <v>1801</v>
      </c>
      <c r="P299" s="98" t="s">
        <v>932</v>
      </c>
      <c r="Q299" s="19" t="s">
        <v>1837</v>
      </c>
      <c r="R299" s="19" t="s">
        <v>1394</v>
      </c>
      <c r="S299" s="135" t="s">
        <v>68</v>
      </c>
      <c r="T299" s="19" t="s">
        <v>68</v>
      </c>
      <c r="U299" s="19" t="s">
        <v>1785</v>
      </c>
      <c r="V299" s="19" t="s">
        <v>1786</v>
      </c>
    </row>
    <row r="300" spans="2:22" ht="15" customHeight="1" x14ac:dyDescent="0.3">
      <c r="B300" s="22">
        <v>293</v>
      </c>
      <c r="C300" s="22" t="s">
        <v>1705</v>
      </c>
      <c r="D300" s="58" t="s">
        <v>1838</v>
      </c>
      <c r="E300" s="58" t="s">
        <v>1839</v>
      </c>
      <c r="F300" s="58" t="s">
        <v>429</v>
      </c>
      <c r="G300" s="58" t="s">
        <v>1840</v>
      </c>
      <c r="H300" s="58" t="s">
        <v>1841</v>
      </c>
      <c r="I300" s="58" t="s">
        <v>235</v>
      </c>
      <c r="J300" s="58" t="s">
        <v>1842</v>
      </c>
      <c r="K300" s="81" t="s">
        <v>296</v>
      </c>
      <c r="L300" s="81">
        <v>128</v>
      </c>
      <c r="M300" s="97" t="s">
        <v>68</v>
      </c>
      <c r="N300" s="80">
        <f t="shared" si="6"/>
        <v>128</v>
      </c>
      <c r="O300" s="58" t="s">
        <v>846</v>
      </c>
      <c r="P300" s="58" t="s">
        <v>846</v>
      </c>
      <c r="Q300" s="58" t="s">
        <v>1608</v>
      </c>
      <c r="R300" s="58" t="s">
        <v>196</v>
      </c>
      <c r="S300" s="123" t="s">
        <v>296</v>
      </c>
      <c r="T300" s="19" t="s">
        <v>68</v>
      </c>
      <c r="U300" s="58" t="s">
        <v>1843</v>
      </c>
      <c r="V300" s="58" t="s">
        <v>1844</v>
      </c>
    </row>
    <row r="301" spans="2:22" ht="15" customHeight="1" x14ac:dyDescent="0.3">
      <c r="B301" s="22">
        <v>294</v>
      </c>
      <c r="C301" s="22" t="s">
        <v>1705</v>
      </c>
      <c r="D301" s="74" t="s">
        <v>1845</v>
      </c>
      <c r="E301" s="74" t="s">
        <v>1846</v>
      </c>
      <c r="F301" s="74" t="s">
        <v>95</v>
      </c>
      <c r="G301" s="22" t="s">
        <v>1847</v>
      </c>
      <c r="H301" s="22" t="s">
        <v>1848</v>
      </c>
      <c r="I301" s="22" t="s">
        <v>51</v>
      </c>
      <c r="J301" s="22">
        <v>1993</v>
      </c>
      <c r="K301" s="80" t="s">
        <v>68</v>
      </c>
      <c r="L301" s="80">
        <v>195</v>
      </c>
      <c r="M301" s="97" t="s">
        <v>68</v>
      </c>
      <c r="N301" s="80">
        <f t="shared" si="6"/>
        <v>195</v>
      </c>
      <c r="O301" s="58" t="s">
        <v>846</v>
      </c>
      <c r="P301" s="58" t="s">
        <v>846</v>
      </c>
      <c r="Q301" s="58" t="s">
        <v>1608</v>
      </c>
      <c r="R301" s="58" t="s">
        <v>196</v>
      </c>
      <c r="S301" s="88" t="s">
        <v>68</v>
      </c>
      <c r="T301" s="19" t="s">
        <v>68</v>
      </c>
      <c r="U301" s="22" t="s">
        <v>1849</v>
      </c>
      <c r="V301" s="22" t="s">
        <v>1850</v>
      </c>
    </row>
    <row r="302" spans="2:22" ht="15" customHeight="1" x14ac:dyDescent="0.3">
      <c r="B302" s="22">
        <v>295</v>
      </c>
      <c r="C302" s="22" t="s">
        <v>1705</v>
      </c>
      <c r="D302" s="22" t="s">
        <v>1838</v>
      </c>
      <c r="E302" s="22" t="s">
        <v>1851</v>
      </c>
      <c r="F302" s="22" t="s">
        <v>50</v>
      </c>
      <c r="G302" s="22" t="s">
        <v>1852</v>
      </c>
      <c r="H302" s="22" t="s">
        <v>1853</v>
      </c>
      <c r="I302" s="22" t="s">
        <v>67</v>
      </c>
      <c r="J302" s="22" t="s">
        <v>1842</v>
      </c>
      <c r="K302" s="80" t="s">
        <v>68</v>
      </c>
      <c r="L302" s="80">
        <v>1250</v>
      </c>
      <c r="M302" s="97" t="s">
        <v>68</v>
      </c>
      <c r="N302" s="80">
        <f t="shared" si="6"/>
        <v>1250</v>
      </c>
      <c r="O302" s="58" t="s">
        <v>1854</v>
      </c>
      <c r="P302" s="58" t="s">
        <v>932</v>
      </c>
      <c r="Q302" s="58" t="s">
        <v>1855</v>
      </c>
      <c r="R302" s="58" t="s">
        <v>238</v>
      </c>
      <c r="S302" s="88" t="s">
        <v>3377</v>
      </c>
      <c r="T302" s="19" t="s">
        <v>68</v>
      </c>
      <c r="U302" s="22" t="s">
        <v>1856</v>
      </c>
      <c r="V302" s="22" t="s">
        <v>1857</v>
      </c>
    </row>
    <row r="303" spans="2:22" ht="15" customHeight="1" x14ac:dyDescent="0.3">
      <c r="B303" s="22">
        <v>296</v>
      </c>
      <c r="C303" s="22" t="s">
        <v>1705</v>
      </c>
      <c r="D303" s="22" t="s">
        <v>1838</v>
      </c>
      <c r="E303" s="22" t="s">
        <v>1858</v>
      </c>
      <c r="F303" s="22" t="s">
        <v>390</v>
      </c>
      <c r="G303" s="22" t="s">
        <v>1859</v>
      </c>
      <c r="H303" s="22" t="s">
        <v>1860</v>
      </c>
      <c r="I303" s="22" t="s">
        <v>51</v>
      </c>
      <c r="J303" s="22">
        <v>2021</v>
      </c>
      <c r="K303" s="80" t="s">
        <v>68</v>
      </c>
      <c r="L303" s="80">
        <v>90</v>
      </c>
      <c r="M303" s="80" t="s">
        <v>68</v>
      </c>
      <c r="N303" s="80">
        <f t="shared" si="6"/>
        <v>90</v>
      </c>
      <c r="O303" s="98" t="s">
        <v>1759</v>
      </c>
      <c r="P303" s="98" t="s">
        <v>1759</v>
      </c>
      <c r="Q303" s="58" t="s">
        <v>1608</v>
      </c>
      <c r="R303" s="58" t="s">
        <v>196</v>
      </c>
      <c r="S303" s="88" t="s">
        <v>68</v>
      </c>
      <c r="T303" s="19" t="s">
        <v>68</v>
      </c>
      <c r="U303" s="22" t="s">
        <v>1861</v>
      </c>
      <c r="V303" s="22" t="s">
        <v>1862</v>
      </c>
    </row>
    <row r="304" spans="2:22" ht="15" customHeight="1" x14ac:dyDescent="0.3">
      <c r="B304" s="22">
        <v>297</v>
      </c>
      <c r="C304" s="22" t="s">
        <v>1705</v>
      </c>
      <c r="D304" s="74" t="s">
        <v>1845</v>
      </c>
      <c r="E304" s="74" t="s">
        <v>1863</v>
      </c>
      <c r="F304" s="74" t="s">
        <v>390</v>
      </c>
      <c r="G304" s="22" t="s">
        <v>1864</v>
      </c>
      <c r="H304" s="22" t="s">
        <v>1865</v>
      </c>
      <c r="I304" s="22" t="s">
        <v>51</v>
      </c>
      <c r="J304" s="22">
        <v>2019</v>
      </c>
      <c r="K304" s="80" t="s">
        <v>68</v>
      </c>
      <c r="L304" s="80">
        <v>100</v>
      </c>
      <c r="M304" s="80" t="s">
        <v>68</v>
      </c>
      <c r="N304" s="80">
        <f t="shared" si="6"/>
        <v>100</v>
      </c>
      <c r="O304" s="98" t="s">
        <v>1759</v>
      </c>
      <c r="P304" s="98" t="s">
        <v>1759</v>
      </c>
      <c r="Q304" s="58" t="s">
        <v>1866</v>
      </c>
      <c r="R304" s="58" t="s">
        <v>853</v>
      </c>
      <c r="S304" s="88" t="s">
        <v>68</v>
      </c>
      <c r="T304" s="19" t="s">
        <v>68</v>
      </c>
      <c r="U304" s="22" t="s">
        <v>1849</v>
      </c>
      <c r="V304" s="22" t="s">
        <v>1850</v>
      </c>
    </row>
    <row r="305" spans="2:22" ht="15" customHeight="1" x14ac:dyDescent="0.3">
      <c r="B305" s="22">
        <v>298</v>
      </c>
      <c r="C305" s="22" t="s">
        <v>1705</v>
      </c>
      <c r="D305" s="74" t="s">
        <v>1845</v>
      </c>
      <c r="E305" s="74" t="s">
        <v>1867</v>
      </c>
      <c r="F305" s="74" t="s">
        <v>55</v>
      </c>
      <c r="G305" s="22" t="s">
        <v>1868</v>
      </c>
      <c r="H305" s="22" t="s">
        <v>1865</v>
      </c>
      <c r="I305" s="22" t="s">
        <v>51</v>
      </c>
      <c r="J305" s="22">
        <v>1998</v>
      </c>
      <c r="K305" s="80" t="s">
        <v>68</v>
      </c>
      <c r="L305" s="80">
        <v>350</v>
      </c>
      <c r="M305" s="80" t="s">
        <v>68</v>
      </c>
      <c r="N305" s="80">
        <f t="shared" si="6"/>
        <v>350</v>
      </c>
      <c r="O305" s="98" t="s">
        <v>1759</v>
      </c>
      <c r="P305" s="98" t="s">
        <v>1759</v>
      </c>
      <c r="Q305" s="58" t="s">
        <v>1608</v>
      </c>
      <c r="R305" s="58" t="s">
        <v>196</v>
      </c>
      <c r="S305" s="88"/>
      <c r="T305" s="19" t="s">
        <v>68</v>
      </c>
      <c r="U305" s="22" t="s">
        <v>1849</v>
      </c>
      <c r="V305" s="22" t="s">
        <v>1850</v>
      </c>
    </row>
    <row r="306" spans="2:22" ht="15" customHeight="1" x14ac:dyDescent="0.3">
      <c r="B306" s="22">
        <v>299</v>
      </c>
      <c r="C306" s="22" t="s">
        <v>1705</v>
      </c>
      <c r="D306" s="74" t="s">
        <v>1845</v>
      </c>
      <c r="E306" s="74" t="s">
        <v>1869</v>
      </c>
      <c r="F306" s="74" t="s">
        <v>55</v>
      </c>
      <c r="G306" s="22" t="s">
        <v>1868</v>
      </c>
      <c r="H306" s="22" t="s">
        <v>1870</v>
      </c>
      <c r="I306" s="22" t="s">
        <v>51</v>
      </c>
      <c r="J306" s="22">
        <v>2004</v>
      </c>
      <c r="K306" s="80" t="s">
        <v>68</v>
      </c>
      <c r="L306" s="80">
        <v>10</v>
      </c>
      <c r="M306" s="80" t="s">
        <v>68</v>
      </c>
      <c r="N306" s="80">
        <f t="shared" si="6"/>
        <v>10</v>
      </c>
      <c r="O306" s="98" t="s">
        <v>1759</v>
      </c>
      <c r="P306" s="98" t="s">
        <v>1759</v>
      </c>
      <c r="Q306" s="58" t="s">
        <v>1871</v>
      </c>
      <c r="R306" s="58" t="s">
        <v>1259</v>
      </c>
      <c r="S306" s="88" t="s">
        <v>68</v>
      </c>
      <c r="T306" s="19" t="s">
        <v>68</v>
      </c>
      <c r="U306" s="22" t="s">
        <v>1849</v>
      </c>
      <c r="V306" s="22" t="s">
        <v>1850</v>
      </c>
    </row>
    <row r="307" spans="2:22" ht="15" customHeight="1" x14ac:dyDescent="0.3">
      <c r="B307" s="22">
        <v>300</v>
      </c>
      <c r="C307" s="22" t="s">
        <v>1705</v>
      </c>
      <c r="D307" s="74" t="s">
        <v>1845</v>
      </c>
      <c r="E307" s="74" t="s">
        <v>1872</v>
      </c>
      <c r="F307" s="74" t="s">
        <v>390</v>
      </c>
      <c r="G307" s="22" t="s">
        <v>1873</v>
      </c>
      <c r="H307" s="22" t="s">
        <v>1874</v>
      </c>
      <c r="I307" s="22" t="s">
        <v>51</v>
      </c>
      <c r="J307" s="22">
        <v>1999</v>
      </c>
      <c r="K307" s="80" t="s">
        <v>68</v>
      </c>
      <c r="L307" s="80">
        <v>72</v>
      </c>
      <c r="M307" s="80" t="s">
        <v>68</v>
      </c>
      <c r="N307" s="80">
        <f t="shared" si="6"/>
        <v>72</v>
      </c>
      <c r="O307" s="98" t="s">
        <v>1759</v>
      </c>
      <c r="P307" s="98" t="s">
        <v>1759</v>
      </c>
      <c r="Q307" s="58" t="s">
        <v>1875</v>
      </c>
      <c r="R307" s="58" t="s">
        <v>1259</v>
      </c>
      <c r="S307" s="88" t="s">
        <v>68</v>
      </c>
      <c r="T307" s="19" t="s">
        <v>68</v>
      </c>
      <c r="U307" s="22" t="s">
        <v>1849</v>
      </c>
      <c r="V307" s="22" t="s">
        <v>1850</v>
      </c>
    </row>
    <row r="308" spans="2:22" ht="15" customHeight="1" x14ac:dyDescent="0.3">
      <c r="B308" s="22">
        <v>301</v>
      </c>
      <c r="C308" s="22" t="s">
        <v>1705</v>
      </c>
      <c r="D308" s="22" t="s">
        <v>1838</v>
      </c>
      <c r="E308" s="22" t="s">
        <v>1876</v>
      </c>
      <c r="F308" s="22" t="s">
        <v>55</v>
      </c>
      <c r="G308" s="22" t="s">
        <v>1877</v>
      </c>
      <c r="H308" s="22" t="s">
        <v>1878</v>
      </c>
      <c r="I308" s="22" t="s">
        <v>67</v>
      </c>
      <c r="J308" s="22">
        <v>2009</v>
      </c>
      <c r="K308" s="80">
        <v>30</v>
      </c>
      <c r="L308" s="80">
        <v>680</v>
      </c>
      <c r="M308" s="80" t="s">
        <v>68</v>
      </c>
      <c r="N308" s="80">
        <f t="shared" si="6"/>
        <v>710</v>
      </c>
      <c r="O308" s="58" t="s">
        <v>1879</v>
      </c>
      <c r="P308" s="58" t="s">
        <v>932</v>
      </c>
      <c r="Q308" s="58" t="s">
        <v>1880</v>
      </c>
      <c r="R308" s="58" t="s">
        <v>247</v>
      </c>
      <c r="S308" s="88" t="s">
        <v>1881</v>
      </c>
      <c r="T308" s="19" t="s">
        <v>43</v>
      </c>
      <c r="U308" s="22" t="s">
        <v>1882</v>
      </c>
      <c r="V308" s="22" t="s">
        <v>1883</v>
      </c>
    </row>
    <row r="309" spans="2:22" ht="15" customHeight="1" x14ac:dyDescent="0.3">
      <c r="B309" s="22">
        <v>302</v>
      </c>
      <c r="C309" s="22" t="s">
        <v>1705</v>
      </c>
      <c r="D309" s="22" t="s">
        <v>1838</v>
      </c>
      <c r="E309" s="22" t="s">
        <v>1884</v>
      </c>
      <c r="F309" s="22" t="s">
        <v>55</v>
      </c>
      <c r="G309" s="22" t="s">
        <v>1885</v>
      </c>
      <c r="H309" s="22" t="s">
        <v>1886</v>
      </c>
      <c r="I309" s="22" t="s">
        <v>51</v>
      </c>
      <c r="J309" s="22">
        <v>2019</v>
      </c>
      <c r="K309" s="80" t="s">
        <v>68</v>
      </c>
      <c r="L309" s="80">
        <v>3000</v>
      </c>
      <c r="M309" s="80" t="s">
        <v>68</v>
      </c>
      <c r="N309" s="80">
        <f t="shared" si="6"/>
        <v>3000</v>
      </c>
      <c r="O309" s="58" t="s">
        <v>1887</v>
      </c>
      <c r="P309" s="58" t="s">
        <v>932</v>
      </c>
      <c r="Q309" s="58" t="s">
        <v>1888</v>
      </c>
      <c r="R309" s="58" t="s">
        <v>238</v>
      </c>
      <c r="S309" s="88" t="s">
        <v>1197</v>
      </c>
      <c r="T309" s="19" t="s">
        <v>68</v>
      </c>
      <c r="U309" s="22" t="s">
        <v>1889</v>
      </c>
      <c r="V309" s="22" t="s">
        <v>1890</v>
      </c>
    </row>
    <row r="310" spans="2:22" ht="15" customHeight="1" x14ac:dyDescent="0.3">
      <c r="B310" s="22">
        <v>303</v>
      </c>
      <c r="C310" s="22" t="s">
        <v>1705</v>
      </c>
      <c r="D310" s="22" t="s">
        <v>1838</v>
      </c>
      <c r="E310" s="22" t="s">
        <v>1891</v>
      </c>
      <c r="F310" s="22" t="s">
        <v>55</v>
      </c>
      <c r="G310" s="22" t="s">
        <v>1892</v>
      </c>
      <c r="H310" s="22" t="s">
        <v>1893</v>
      </c>
      <c r="I310" s="22" t="s">
        <v>51</v>
      </c>
      <c r="J310" s="22">
        <v>2021</v>
      </c>
      <c r="K310" s="80" t="s">
        <v>68</v>
      </c>
      <c r="L310" s="80">
        <v>135</v>
      </c>
      <c r="M310" s="80">
        <v>15</v>
      </c>
      <c r="N310" s="80">
        <f t="shared" si="6"/>
        <v>150</v>
      </c>
      <c r="O310" s="98" t="s">
        <v>1759</v>
      </c>
      <c r="P310" s="98" t="s">
        <v>1759</v>
      </c>
      <c r="Q310" s="58" t="s">
        <v>1608</v>
      </c>
      <c r="R310" s="58" t="s">
        <v>196</v>
      </c>
      <c r="S310" s="88" t="s">
        <v>68</v>
      </c>
      <c r="T310" s="19" t="s">
        <v>68</v>
      </c>
      <c r="U310" s="22" t="s">
        <v>1894</v>
      </c>
      <c r="V310" s="22" t="s">
        <v>1895</v>
      </c>
    </row>
    <row r="311" spans="2:22" ht="15" customHeight="1" x14ac:dyDescent="0.3">
      <c r="B311" s="22">
        <v>304</v>
      </c>
      <c r="C311" s="22" t="s">
        <v>1705</v>
      </c>
      <c r="D311" s="22" t="s">
        <v>1896</v>
      </c>
      <c r="E311" s="22" t="s">
        <v>1897</v>
      </c>
      <c r="F311" s="8" t="s">
        <v>55</v>
      </c>
      <c r="G311" s="22" t="s">
        <v>1818</v>
      </c>
      <c r="H311" s="22" t="s">
        <v>1898</v>
      </c>
      <c r="I311" s="8" t="s">
        <v>51</v>
      </c>
      <c r="J311" s="22">
        <v>1984</v>
      </c>
      <c r="K311" s="80" t="s">
        <v>68</v>
      </c>
      <c r="L311" s="80">
        <v>550</v>
      </c>
      <c r="M311" s="80" t="s">
        <v>68</v>
      </c>
      <c r="N311" s="80">
        <f t="shared" si="6"/>
        <v>550</v>
      </c>
      <c r="O311" s="22" t="s">
        <v>1899</v>
      </c>
      <c r="P311" s="22" t="s">
        <v>932</v>
      </c>
      <c r="Q311" s="22" t="s">
        <v>1900</v>
      </c>
      <c r="R311" s="22" t="s">
        <v>42</v>
      </c>
      <c r="S311" s="84" t="s">
        <v>1901</v>
      </c>
      <c r="T311" s="22" t="s">
        <v>1608</v>
      </c>
      <c r="U311" s="22" t="s">
        <v>1902</v>
      </c>
      <c r="V311" s="22" t="s">
        <v>1903</v>
      </c>
    </row>
    <row r="312" spans="2:22" ht="15" customHeight="1" x14ac:dyDescent="0.3">
      <c r="B312" s="22">
        <v>305</v>
      </c>
      <c r="C312" s="22" t="s">
        <v>1705</v>
      </c>
      <c r="D312" s="22" t="s">
        <v>1896</v>
      </c>
      <c r="E312" s="22" t="s">
        <v>1904</v>
      </c>
      <c r="F312" s="8" t="s">
        <v>1243</v>
      </c>
      <c r="G312" s="14" t="s">
        <v>1905</v>
      </c>
      <c r="H312" s="22" t="s">
        <v>1906</v>
      </c>
      <c r="I312" s="8" t="s">
        <v>51</v>
      </c>
      <c r="J312" s="22">
        <v>2019</v>
      </c>
      <c r="K312" s="80" t="s">
        <v>68</v>
      </c>
      <c r="L312" s="80">
        <v>10</v>
      </c>
      <c r="M312" s="80" t="s">
        <v>68</v>
      </c>
      <c r="N312" s="80">
        <f t="shared" si="6"/>
        <v>10</v>
      </c>
      <c r="O312" s="22" t="s">
        <v>1907</v>
      </c>
      <c r="P312" s="22" t="s">
        <v>1908</v>
      </c>
      <c r="Q312" s="8" t="s">
        <v>1909</v>
      </c>
      <c r="R312" s="22" t="s">
        <v>394</v>
      </c>
      <c r="S312" s="84" t="s">
        <v>68</v>
      </c>
      <c r="T312" s="22" t="s">
        <v>1608</v>
      </c>
      <c r="U312" s="8" t="s">
        <v>1910</v>
      </c>
      <c r="V312" s="8" t="s">
        <v>1911</v>
      </c>
    </row>
    <row r="313" spans="2:22" ht="15" customHeight="1" x14ac:dyDescent="0.3">
      <c r="B313" s="22">
        <v>306</v>
      </c>
      <c r="C313" s="22" t="s">
        <v>1705</v>
      </c>
      <c r="D313" s="8" t="s">
        <v>1896</v>
      </c>
      <c r="E313" s="8" t="s">
        <v>1912</v>
      </c>
      <c r="F313" s="8" t="s">
        <v>55</v>
      </c>
      <c r="G313" s="8" t="s">
        <v>1913</v>
      </c>
      <c r="H313" s="8" t="s">
        <v>1914</v>
      </c>
      <c r="I313" s="8" t="s">
        <v>67</v>
      </c>
      <c r="J313" s="8">
        <v>2018</v>
      </c>
      <c r="K313" s="80" t="s">
        <v>68</v>
      </c>
      <c r="L313" s="82">
        <v>120</v>
      </c>
      <c r="M313" s="80" t="s">
        <v>68</v>
      </c>
      <c r="N313" s="80">
        <f t="shared" si="6"/>
        <v>120</v>
      </c>
      <c r="O313" s="8" t="s">
        <v>1915</v>
      </c>
      <c r="P313" s="8" t="s">
        <v>1813</v>
      </c>
      <c r="Q313" s="8" t="s">
        <v>1896</v>
      </c>
      <c r="R313" s="25" t="s">
        <v>1916</v>
      </c>
      <c r="S313" s="84" t="s">
        <v>1917</v>
      </c>
      <c r="T313" s="22" t="s">
        <v>1608</v>
      </c>
      <c r="U313" s="8" t="s">
        <v>1918</v>
      </c>
      <c r="V313" s="8" t="s">
        <v>1919</v>
      </c>
    </row>
    <row r="314" spans="2:22" ht="15" customHeight="1" x14ac:dyDescent="0.3">
      <c r="B314" s="22">
        <v>307</v>
      </c>
      <c r="C314" s="22" t="s">
        <v>1705</v>
      </c>
      <c r="D314" s="22" t="s">
        <v>1896</v>
      </c>
      <c r="E314" s="22" t="s">
        <v>1920</v>
      </c>
      <c r="F314" s="22" t="s">
        <v>1921</v>
      </c>
      <c r="G314" s="22" t="s">
        <v>1922</v>
      </c>
      <c r="H314" s="22" t="s">
        <v>1923</v>
      </c>
      <c r="I314" s="22" t="s">
        <v>51</v>
      </c>
      <c r="J314" s="22">
        <v>2015</v>
      </c>
      <c r="K314" s="80" t="s">
        <v>68</v>
      </c>
      <c r="L314" s="80">
        <v>10</v>
      </c>
      <c r="M314" s="80">
        <v>4</v>
      </c>
      <c r="N314" s="80">
        <f t="shared" si="6"/>
        <v>14</v>
      </c>
      <c r="O314" s="22" t="s">
        <v>1746</v>
      </c>
      <c r="P314" s="22" t="s">
        <v>932</v>
      </c>
      <c r="Q314" s="22" t="s">
        <v>1924</v>
      </c>
      <c r="R314" s="22" t="s">
        <v>1274</v>
      </c>
      <c r="S314" s="88" t="s">
        <v>1925</v>
      </c>
      <c r="T314" s="22" t="s">
        <v>1608</v>
      </c>
      <c r="U314" s="22" t="s">
        <v>1926</v>
      </c>
      <c r="V314" s="22" t="s">
        <v>1927</v>
      </c>
    </row>
    <row r="315" spans="2:22" ht="15" customHeight="1" x14ac:dyDescent="0.3">
      <c r="B315" s="22">
        <v>308</v>
      </c>
      <c r="C315" s="22" t="s">
        <v>1705</v>
      </c>
      <c r="D315" s="22" t="s">
        <v>1928</v>
      </c>
      <c r="E315" s="22" t="s">
        <v>1929</v>
      </c>
      <c r="F315" s="22" t="s">
        <v>95</v>
      </c>
      <c r="G315" s="22" t="s">
        <v>1930</v>
      </c>
      <c r="H315" s="22" t="s">
        <v>1931</v>
      </c>
      <c r="I315" s="74" t="s">
        <v>67</v>
      </c>
      <c r="J315" s="74">
        <v>2016</v>
      </c>
      <c r="K315" s="80" t="s">
        <v>68</v>
      </c>
      <c r="L315" s="103">
        <v>522.79999999999995</v>
      </c>
      <c r="M315" s="103" t="s">
        <v>68</v>
      </c>
      <c r="N315" s="80">
        <f t="shared" si="6"/>
        <v>522.79999999999995</v>
      </c>
      <c r="O315" s="74" t="s">
        <v>932</v>
      </c>
      <c r="P315" s="74" t="s">
        <v>932</v>
      </c>
      <c r="Q315" s="22" t="s">
        <v>1932</v>
      </c>
      <c r="R315" s="22" t="s">
        <v>42</v>
      </c>
      <c r="S315" s="88" t="s">
        <v>1933</v>
      </c>
      <c r="T315" s="22" t="s">
        <v>68</v>
      </c>
      <c r="U315" s="22" t="s">
        <v>1934</v>
      </c>
      <c r="V315" s="22" t="s">
        <v>1935</v>
      </c>
    </row>
    <row r="316" spans="2:22" ht="15" customHeight="1" x14ac:dyDescent="0.3">
      <c r="B316" s="22">
        <v>309</v>
      </c>
      <c r="C316" s="22" t="s">
        <v>1705</v>
      </c>
      <c r="D316" s="22" t="s">
        <v>1928</v>
      </c>
      <c r="E316" s="22" t="s">
        <v>1936</v>
      </c>
      <c r="F316" s="22" t="s">
        <v>106</v>
      </c>
      <c r="G316" s="22" t="s">
        <v>1913</v>
      </c>
      <c r="H316" s="22" t="s">
        <v>1937</v>
      </c>
      <c r="I316" s="74" t="s">
        <v>67</v>
      </c>
      <c r="J316" s="74">
        <v>1981</v>
      </c>
      <c r="K316" s="80" t="s">
        <v>68</v>
      </c>
      <c r="L316" s="103">
        <v>362.5</v>
      </c>
      <c r="M316" s="103" t="s">
        <v>68</v>
      </c>
      <c r="N316" s="80">
        <f t="shared" si="6"/>
        <v>362.5</v>
      </c>
      <c r="O316" s="104">
        <v>2398</v>
      </c>
      <c r="P316" s="74" t="s">
        <v>932</v>
      </c>
      <c r="Q316" s="22" t="s">
        <v>1932</v>
      </c>
      <c r="R316" s="22" t="s">
        <v>42</v>
      </c>
      <c r="S316" s="88" t="s">
        <v>1933</v>
      </c>
      <c r="T316" s="22" t="s">
        <v>68</v>
      </c>
      <c r="U316" s="22" t="s">
        <v>1934</v>
      </c>
      <c r="V316" s="22" t="s">
        <v>1935</v>
      </c>
    </row>
    <row r="317" spans="2:22" ht="15" customHeight="1" x14ac:dyDescent="0.3">
      <c r="B317" s="22">
        <v>310</v>
      </c>
      <c r="C317" s="22" t="s">
        <v>1705</v>
      </c>
      <c r="D317" s="22" t="s">
        <v>1938</v>
      </c>
      <c r="E317" s="22" t="s">
        <v>1939</v>
      </c>
      <c r="F317" s="22" t="s">
        <v>35</v>
      </c>
      <c r="G317" s="22" t="s">
        <v>1940</v>
      </c>
      <c r="H317" s="22" t="s">
        <v>1941</v>
      </c>
      <c r="I317" s="22" t="s">
        <v>51</v>
      </c>
      <c r="J317" s="22">
        <v>2019</v>
      </c>
      <c r="K317" s="80" t="s">
        <v>68</v>
      </c>
      <c r="L317" s="80">
        <v>95</v>
      </c>
      <c r="M317" s="103" t="s">
        <v>68</v>
      </c>
      <c r="N317" s="80">
        <f t="shared" si="6"/>
        <v>95</v>
      </c>
      <c r="O317" s="58" t="s">
        <v>1759</v>
      </c>
      <c r="P317" s="58" t="s">
        <v>1759</v>
      </c>
      <c r="Q317" s="22" t="s">
        <v>1938</v>
      </c>
      <c r="R317" s="22" t="s">
        <v>68</v>
      </c>
      <c r="S317" s="88" t="s">
        <v>68</v>
      </c>
      <c r="T317" s="22" t="s">
        <v>68</v>
      </c>
      <c r="U317" s="22" t="s">
        <v>1942</v>
      </c>
      <c r="V317" s="22" t="s">
        <v>1943</v>
      </c>
    </row>
    <row r="318" spans="2:22" ht="15" customHeight="1" x14ac:dyDescent="0.3">
      <c r="B318" s="22">
        <v>311</v>
      </c>
      <c r="C318" s="22" t="s">
        <v>1705</v>
      </c>
      <c r="D318" s="22" t="s">
        <v>1938</v>
      </c>
      <c r="E318" s="22" t="s">
        <v>1944</v>
      </c>
      <c r="F318" s="22" t="s">
        <v>55</v>
      </c>
      <c r="G318" s="22" t="s">
        <v>1945</v>
      </c>
      <c r="H318" s="22" t="s">
        <v>1946</v>
      </c>
      <c r="I318" s="22" t="s">
        <v>51</v>
      </c>
      <c r="J318" s="22">
        <v>2016</v>
      </c>
      <c r="K318" s="80">
        <v>190</v>
      </c>
      <c r="L318" s="80" t="s">
        <v>1947</v>
      </c>
      <c r="M318" s="103" t="s">
        <v>68</v>
      </c>
      <c r="N318" s="80">
        <f t="shared" si="6"/>
        <v>190</v>
      </c>
      <c r="O318" s="105">
        <v>93000</v>
      </c>
      <c r="P318" s="58" t="s">
        <v>932</v>
      </c>
      <c r="Q318" s="22" t="s">
        <v>1948</v>
      </c>
      <c r="R318" s="22" t="s">
        <v>42</v>
      </c>
      <c r="S318" s="88" t="s">
        <v>1949</v>
      </c>
      <c r="T318" s="22" t="s">
        <v>1950</v>
      </c>
      <c r="U318" s="22" t="s">
        <v>1951</v>
      </c>
      <c r="V318" s="22" t="s">
        <v>1952</v>
      </c>
    </row>
    <row r="319" spans="2:22" ht="15" customHeight="1" x14ac:dyDescent="0.3">
      <c r="B319" s="22">
        <v>312</v>
      </c>
      <c r="C319" s="22" t="s">
        <v>1705</v>
      </c>
      <c r="D319" s="22" t="s">
        <v>1938</v>
      </c>
      <c r="E319" s="22" t="s">
        <v>1953</v>
      </c>
      <c r="F319" s="22" t="s">
        <v>35</v>
      </c>
      <c r="G319" s="22" t="s">
        <v>1930</v>
      </c>
      <c r="H319" s="22" t="s">
        <v>1954</v>
      </c>
      <c r="I319" s="22" t="s">
        <v>51</v>
      </c>
      <c r="J319" s="22">
        <v>2017</v>
      </c>
      <c r="K319" s="80" t="s">
        <v>68</v>
      </c>
      <c r="L319" s="80">
        <v>450</v>
      </c>
      <c r="M319" s="103" t="s">
        <v>68</v>
      </c>
      <c r="N319" s="80">
        <f t="shared" si="6"/>
        <v>450</v>
      </c>
      <c r="O319" s="58" t="s">
        <v>1759</v>
      </c>
      <c r="P319" s="58" t="s">
        <v>1759</v>
      </c>
      <c r="Q319" s="22" t="s">
        <v>1938</v>
      </c>
      <c r="R319" s="22" t="s">
        <v>68</v>
      </c>
      <c r="S319" s="88" t="s">
        <v>68</v>
      </c>
      <c r="T319" s="22" t="s">
        <v>68</v>
      </c>
      <c r="U319" s="22" t="s">
        <v>1942</v>
      </c>
      <c r="V319" s="22" t="s">
        <v>1943</v>
      </c>
    </row>
    <row r="320" spans="2:22" ht="15" customHeight="1" x14ac:dyDescent="0.3">
      <c r="B320" s="22">
        <v>313</v>
      </c>
      <c r="C320" s="22" t="s">
        <v>1705</v>
      </c>
      <c r="D320" s="22" t="s">
        <v>1938</v>
      </c>
      <c r="E320" s="22" t="s">
        <v>1955</v>
      </c>
      <c r="F320" s="22" t="s">
        <v>35</v>
      </c>
      <c r="G320" s="22" t="s">
        <v>1956</v>
      </c>
      <c r="H320" s="22" t="s">
        <v>1957</v>
      </c>
      <c r="I320" s="22" t="s">
        <v>51</v>
      </c>
      <c r="J320" s="22">
        <v>1999</v>
      </c>
      <c r="K320" s="80" t="s">
        <v>68</v>
      </c>
      <c r="L320" s="80">
        <v>40</v>
      </c>
      <c r="M320" s="80">
        <v>50</v>
      </c>
      <c r="N320" s="80">
        <f t="shared" si="6"/>
        <v>90</v>
      </c>
      <c r="O320" s="58" t="s">
        <v>1759</v>
      </c>
      <c r="P320" s="58" t="s">
        <v>1759</v>
      </c>
      <c r="Q320" s="22" t="s">
        <v>1938</v>
      </c>
      <c r="R320" s="22" t="s">
        <v>68</v>
      </c>
      <c r="S320" s="88" t="s">
        <v>68</v>
      </c>
      <c r="T320" s="22" t="s">
        <v>68</v>
      </c>
      <c r="U320" s="22" t="s">
        <v>1942</v>
      </c>
      <c r="V320" s="22" t="s">
        <v>1943</v>
      </c>
    </row>
    <row r="321" spans="2:22" ht="15" customHeight="1" x14ac:dyDescent="0.3">
      <c r="B321" s="22">
        <v>314</v>
      </c>
      <c r="C321" s="22" t="s">
        <v>1705</v>
      </c>
      <c r="D321" s="22" t="s">
        <v>1938</v>
      </c>
      <c r="E321" s="22" t="s">
        <v>1958</v>
      </c>
      <c r="F321" s="22" t="s">
        <v>35</v>
      </c>
      <c r="G321" s="22" t="s">
        <v>1913</v>
      </c>
      <c r="H321" s="22" t="s">
        <v>1941</v>
      </c>
      <c r="I321" s="22" t="s">
        <v>51</v>
      </c>
      <c r="J321" s="22">
        <v>2018</v>
      </c>
      <c r="K321" s="80" t="s">
        <v>68</v>
      </c>
      <c r="L321" s="80">
        <v>380</v>
      </c>
      <c r="M321" s="80" t="s">
        <v>68</v>
      </c>
      <c r="N321" s="80">
        <f t="shared" si="6"/>
        <v>380</v>
      </c>
      <c r="O321" s="58" t="s">
        <v>1759</v>
      </c>
      <c r="P321" s="58" t="s">
        <v>1759</v>
      </c>
      <c r="Q321" s="22" t="s">
        <v>1938</v>
      </c>
      <c r="R321" s="22" t="s">
        <v>68</v>
      </c>
      <c r="S321" s="88" t="s">
        <v>68</v>
      </c>
      <c r="T321" s="22" t="s">
        <v>68</v>
      </c>
      <c r="U321" s="22" t="s">
        <v>1942</v>
      </c>
      <c r="V321" s="22" t="s">
        <v>1943</v>
      </c>
    </row>
    <row r="322" spans="2:22" ht="15" customHeight="1" x14ac:dyDescent="0.3">
      <c r="B322" s="22">
        <v>315</v>
      </c>
      <c r="C322" s="22" t="s">
        <v>1705</v>
      </c>
      <c r="D322" s="22" t="s">
        <v>1938</v>
      </c>
      <c r="E322" s="22" t="s">
        <v>1959</v>
      </c>
      <c r="F322" s="22" t="s">
        <v>55</v>
      </c>
      <c r="G322" s="22" t="s">
        <v>1913</v>
      </c>
      <c r="H322" s="22" t="s">
        <v>1960</v>
      </c>
      <c r="I322" s="22" t="s">
        <v>51</v>
      </c>
      <c r="J322" s="22">
        <v>1966</v>
      </c>
      <c r="K322" s="80" t="s">
        <v>68</v>
      </c>
      <c r="L322" s="80">
        <v>650</v>
      </c>
      <c r="M322" s="80" t="s">
        <v>68</v>
      </c>
      <c r="N322" s="80">
        <f t="shared" si="6"/>
        <v>650</v>
      </c>
      <c r="O322" s="58" t="s">
        <v>932</v>
      </c>
      <c r="P322" s="58" t="s">
        <v>932</v>
      </c>
      <c r="Q322" s="22" t="s">
        <v>1948</v>
      </c>
      <c r="R322" s="22" t="s">
        <v>42</v>
      </c>
      <c r="S322" s="88" t="s">
        <v>1949</v>
      </c>
      <c r="T322" s="22" t="s">
        <v>68</v>
      </c>
      <c r="U322" s="22" t="s">
        <v>1951</v>
      </c>
      <c r="V322" s="22" t="s">
        <v>1952</v>
      </c>
    </row>
    <row r="323" spans="2:22" ht="15" customHeight="1" x14ac:dyDescent="0.3">
      <c r="B323" s="22">
        <v>316</v>
      </c>
      <c r="C323" s="22" t="s">
        <v>1705</v>
      </c>
      <c r="D323" s="22" t="s">
        <v>1961</v>
      </c>
      <c r="E323" s="22" t="s">
        <v>1962</v>
      </c>
      <c r="F323" s="22" t="s">
        <v>50</v>
      </c>
      <c r="G323" s="65" t="s">
        <v>1963</v>
      </c>
      <c r="H323" s="22" t="s">
        <v>1964</v>
      </c>
      <c r="I323" s="22" t="s">
        <v>67</v>
      </c>
      <c r="J323" s="22">
        <v>1973</v>
      </c>
      <c r="K323" s="80" t="s">
        <v>68</v>
      </c>
      <c r="L323" s="80">
        <v>600</v>
      </c>
      <c r="M323" s="80" t="s">
        <v>68</v>
      </c>
      <c r="N323" s="80">
        <f t="shared" si="6"/>
        <v>600</v>
      </c>
      <c r="O323" s="58" t="s">
        <v>932</v>
      </c>
      <c r="P323" s="22" t="s">
        <v>932</v>
      </c>
      <c r="Q323" s="22" t="s">
        <v>1965</v>
      </c>
      <c r="R323" s="22" t="s">
        <v>42</v>
      </c>
      <c r="S323" s="88" t="s">
        <v>1966</v>
      </c>
      <c r="T323" s="22" t="s">
        <v>68</v>
      </c>
      <c r="U323" s="22" t="s">
        <v>1967</v>
      </c>
      <c r="V323" s="22" t="s">
        <v>1968</v>
      </c>
    </row>
    <row r="324" spans="2:22" ht="15" customHeight="1" x14ac:dyDescent="0.3">
      <c r="B324" s="22">
        <v>317</v>
      </c>
      <c r="C324" s="22" t="s">
        <v>1705</v>
      </c>
      <c r="D324" s="22" t="s">
        <v>1961</v>
      </c>
      <c r="E324" s="22" t="s">
        <v>1969</v>
      </c>
      <c r="F324" s="22" t="s">
        <v>95</v>
      </c>
      <c r="G324" s="22" t="s">
        <v>1945</v>
      </c>
      <c r="H324" s="22" t="s">
        <v>1970</v>
      </c>
      <c r="I324" s="22" t="s">
        <v>67</v>
      </c>
      <c r="J324" s="22">
        <v>2016</v>
      </c>
      <c r="K324" s="80" t="s">
        <v>68</v>
      </c>
      <c r="L324" s="80">
        <v>355</v>
      </c>
      <c r="M324" s="80" t="s">
        <v>68</v>
      </c>
      <c r="N324" s="80">
        <f t="shared" si="6"/>
        <v>355</v>
      </c>
      <c r="O324" s="58" t="s">
        <v>932</v>
      </c>
      <c r="P324" s="22" t="s">
        <v>932</v>
      </c>
      <c r="Q324" s="22" t="s">
        <v>1971</v>
      </c>
      <c r="R324" s="22" t="s">
        <v>68</v>
      </c>
      <c r="S324" s="88" t="s">
        <v>68</v>
      </c>
      <c r="T324" s="22" t="s">
        <v>68</v>
      </c>
      <c r="U324" s="22" t="s">
        <v>1972</v>
      </c>
      <c r="V324" s="22" t="s">
        <v>1973</v>
      </c>
    </row>
    <row r="325" spans="2:22" ht="15" customHeight="1" x14ac:dyDescent="0.3">
      <c r="B325" s="22">
        <v>318</v>
      </c>
      <c r="C325" s="22" t="s">
        <v>1705</v>
      </c>
      <c r="D325" s="22" t="s">
        <v>1961</v>
      </c>
      <c r="E325" s="22" t="s">
        <v>1974</v>
      </c>
      <c r="F325" s="22" t="s">
        <v>55</v>
      </c>
      <c r="G325" s="22" t="s">
        <v>1930</v>
      </c>
      <c r="H325" s="22" t="s">
        <v>1975</v>
      </c>
      <c r="I325" s="22" t="s">
        <v>51</v>
      </c>
      <c r="J325" s="22">
        <v>2016</v>
      </c>
      <c r="K325" s="80" t="s">
        <v>68</v>
      </c>
      <c r="L325" s="80">
        <v>130</v>
      </c>
      <c r="M325" s="80" t="s">
        <v>68</v>
      </c>
      <c r="N325" s="80">
        <f t="shared" si="6"/>
        <v>130</v>
      </c>
      <c r="O325" s="58" t="s">
        <v>1759</v>
      </c>
      <c r="P325" s="58" t="s">
        <v>1759</v>
      </c>
      <c r="Q325" s="22" t="s">
        <v>1971</v>
      </c>
      <c r="R325" s="22" t="s">
        <v>68</v>
      </c>
      <c r="S325" s="88" t="s">
        <v>68</v>
      </c>
      <c r="T325" s="22" t="s">
        <v>68</v>
      </c>
      <c r="U325" s="22" t="s">
        <v>1976</v>
      </c>
      <c r="V325" s="22" t="s">
        <v>1977</v>
      </c>
    </row>
    <row r="326" spans="2:22" ht="15" customHeight="1" x14ac:dyDescent="0.3">
      <c r="B326" s="22">
        <v>319</v>
      </c>
      <c r="C326" s="22" t="s">
        <v>1705</v>
      </c>
      <c r="D326" s="22" t="s">
        <v>1961</v>
      </c>
      <c r="E326" s="22" t="s">
        <v>1978</v>
      </c>
      <c r="F326" s="22" t="s">
        <v>55</v>
      </c>
      <c r="G326" s="22" t="s">
        <v>1818</v>
      </c>
      <c r="H326" s="22" t="s">
        <v>1979</v>
      </c>
      <c r="I326" s="22" t="s">
        <v>51</v>
      </c>
      <c r="J326" s="22">
        <v>2008</v>
      </c>
      <c r="K326" s="80" t="s">
        <v>68</v>
      </c>
      <c r="L326" s="80">
        <v>430</v>
      </c>
      <c r="M326" s="80" t="s">
        <v>68</v>
      </c>
      <c r="N326" s="80">
        <f t="shared" si="6"/>
        <v>430</v>
      </c>
      <c r="O326" s="58" t="s">
        <v>932</v>
      </c>
      <c r="P326" s="22" t="s">
        <v>932</v>
      </c>
      <c r="Q326" s="22" t="s">
        <v>1980</v>
      </c>
      <c r="R326" s="22" t="s">
        <v>42</v>
      </c>
      <c r="S326" s="88" t="s">
        <v>1981</v>
      </c>
      <c r="T326" s="22" t="s">
        <v>68</v>
      </c>
      <c r="U326" s="22" t="s">
        <v>1982</v>
      </c>
      <c r="V326" s="22" t="s">
        <v>1983</v>
      </c>
    </row>
    <row r="327" spans="2:22" ht="15" customHeight="1" x14ac:dyDescent="0.3">
      <c r="B327" s="22">
        <v>320</v>
      </c>
      <c r="C327" s="22" t="s">
        <v>1705</v>
      </c>
      <c r="D327" s="22" t="s">
        <v>1961</v>
      </c>
      <c r="E327" s="22" t="s">
        <v>1984</v>
      </c>
      <c r="F327" s="22" t="s">
        <v>55</v>
      </c>
      <c r="G327" s="22" t="s">
        <v>1985</v>
      </c>
      <c r="H327" s="22" t="s">
        <v>1975</v>
      </c>
      <c r="I327" s="22" t="s">
        <v>51</v>
      </c>
      <c r="J327" s="22">
        <v>2022</v>
      </c>
      <c r="K327" s="80" t="s">
        <v>68</v>
      </c>
      <c r="L327" s="80">
        <v>299</v>
      </c>
      <c r="M327" s="80" t="s">
        <v>68</v>
      </c>
      <c r="N327" s="80">
        <f t="shared" si="6"/>
        <v>299</v>
      </c>
      <c r="O327" s="58" t="s">
        <v>1759</v>
      </c>
      <c r="P327" s="58" t="s">
        <v>1759</v>
      </c>
      <c r="Q327" s="22" t="s">
        <v>1971</v>
      </c>
      <c r="R327" s="22" t="s">
        <v>68</v>
      </c>
      <c r="S327" s="88" t="s">
        <v>68</v>
      </c>
      <c r="T327" s="22" t="s">
        <v>68</v>
      </c>
      <c r="U327" s="22" t="s">
        <v>1976</v>
      </c>
      <c r="V327" s="22" t="s">
        <v>1977</v>
      </c>
    </row>
    <row r="328" spans="2:22" ht="15" customHeight="1" x14ac:dyDescent="0.3">
      <c r="B328" s="22">
        <v>321</v>
      </c>
      <c r="C328" s="22" t="s">
        <v>1705</v>
      </c>
      <c r="D328" s="95" t="s">
        <v>1986</v>
      </c>
      <c r="E328" s="95" t="s">
        <v>1987</v>
      </c>
      <c r="F328" s="22" t="s">
        <v>390</v>
      </c>
      <c r="G328" s="95" t="s">
        <v>1988</v>
      </c>
      <c r="H328" s="22" t="s">
        <v>1989</v>
      </c>
      <c r="I328" s="22" t="s">
        <v>67</v>
      </c>
      <c r="J328" s="75">
        <v>2019</v>
      </c>
      <c r="K328" s="80" t="s">
        <v>68</v>
      </c>
      <c r="L328" s="119">
        <v>290</v>
      </c>
      <c r="M328" s="80" t="s">
        <v>68</v>
      </c>
      <c r="N328" s="80">
        <f t="shared" si="6"/>
        <v>290</v>
      </c>
      <c r="O328" s="22" t="s">
        <v>932</v>
      </c>
      <c r="P328" s="22" t="s">
        <v>932</v>
      </c>
      <c r="Q328" s="22" t="s">
        <v>1990</v>
      </c>
      <c r="R328" s="22" t="s">
        <v>42</v>
      </c>
      <c r="S328" s="88" t="s">
        <v>1991</v>
      </c>
      <c r="T328" s="22" t="s">
        <v>68</v>
      </c>
      <c r="U328" s="22" t="s">
        <v>1992</v>
      </c>
      <c r="V328" s="22" t="s">
        <v>1993</v>
      </c>
    </row>
    <row r="329" spans="2:22" ht="15" customHeight="1" x14ac:dyDescent="0.3">
      <c r="B329" s="22">
        <v>322</v>
      </c>
      <c r="C329" s="22" t="s">
        <v>1705</v>
      </c>
      <c r="D329" s="95" t="s">
        <v>1986</v>
      </c>
      <c r="E329" s="95" t="s">
        <v>1994</v>
      </c>
      <c r="F329" s="22" t="s">
        <v>390</v>
      </c>
      <c r="G329" s="95" t="s">
        <v>1995</v>
      </c>
      <c r="H329" s="22" t="s">
        <v>1989</v>
      </c>
      <c r="I329" s="22" t="s">
        <v>67</v>
      </c>
      <c r="J329" s="75">
        <v>2017</v>
      </c>
      <c r="K329" s="80" t="s">
        <v>68</v>
      </c>
      <c r="L329" s="119">
        <v>800</v>
      </c>
      <c r="M329" s="80" t="s">
        <v>68</v>
      </c>
      <c r="N329" s="80">
        <f t="shared" si="6"/>
        <v>800</v>
      </c>
      <c r="O329" s="58" t="s">
        <v>1759</v>
      </c>
      <c r="P329" s="58" t="s">
        <v>1759</v>
      </c>
      <c r="Q329" s="22" t="s">
        <v>1990</v>
      </c>
      <c r="R329" s="22" t="s">
        <v>42</v>
      </c>
      <c r="S329" s="88" t="s">
        <v>1991</v>
      </c>
      <c r="T329" s="22" t="s">
        <v>68</v>
      </c>
      <c r="U329" s="22" t="s">
        <v>1992</v>
      </c>
      <c r="V329" s="22" t="s">
        <v>1993</v>
      </c>
    </row>
    <row r="330" spans="2:22" ht="15" customHeight="1" x14ac:dyDescent="0.3">
      <c r="B330" s="22">
        <v>323</v>
      </c>
      <c r="C330" s="22" t="s">
        <v>1705</v>
      </c>
      <c r="D330" s="95" t="s">
        <v>1986</v>
      </c>
      <c r="E330" s="95" t="s">
        <v>1996</v>
      </c>
      <c r="F330" s="22" t="s">
        <v>390</v>
      </c>
      <c r="G330" s="95" t="s">
        <v>1997</v>
      </c>
      <c r="H330" s="22" t="s">
        <v>1989</v>
      </c>
      <c r="I330" s="22" t="s">
        <v>67</v>
      </c>
      <c r="J330" s="75">
        <v>1996</v>
      </c>
      <c r="K330" s="80" t="s">
        <v>68</v>
      </c>
      <c r="L330" s="119">
        <v>295</v>
      </c>
      <c r="M330" s="80" t="s">
        <v>68</v>
      </c>
      <c r="N330" s="80">
        <f t="shared" si="6"/>
        <v>295</v>
      </c>
      <c r="O330" s="22" t="s">
        <v>932</v>
      </c>
      <c r="P330" s="22" t="s">
        <v>932</v>
      </c>
      <c r="Q330" s="22" t="s">
        <v>1990</v>
      </c>
      <c r="R330" s="22" t="s">
        <v>42</v>
      </c>
      <c r="S330" s="88" t="s">
        <v>1991</v>
      </c>
      <c r="T330" s="22" t="s">
        <v>68</v>
      </c>
      <c r="U330" s="22" t="s">
        <v>1992</v>
      </c>
      <c r="V330" s="22" t="s">
        <v>1993</v>
      </c>
    </row>
    <row r="331" spans="2:22" ht="15" customHeight="1" x14ac:dyDescent="0.3">
      <c r="B331" s="22">
        <v>324</v>
      </c>
      <c r="C331" s="22" t="s">
        <v>1705</v>
      </c>
      <c r="D331" s="95" t="s">
        <v>1986</v>
      </c>
      <c r="E331" s="95" t="s">
        <v>1998</v>
      </c>
      <c r="F331" s="22" t="s">
        <v>390</v>
      </c>
      <c r="G331" s="95" t="s">
        <v>1999</v>
      </c>
      <c r="H331" s="22" t="s">
        <v>1989</v>
      </c>
      <c r="I331" s="22" t="s">
        <v>67</v>
      </c>
      <c r="J331" s="75">
        <v>2003</v>
      </c>
      <c r="K331" s="80" t="s">
        <v>68</v>
      </c>
      <c r="L331" s="119">
        <v>450</v>
      </c>
      <c r="M331" s="80" t="s">
        <v>68</v>
      </c>
      <c r="N331" s="80">
        <f t="shared" si="6"/>
        <v>450</v>
      </c>
      <c r="O331" s="22" t="s">
        <v>932</v>
      </c>
      <c r="P331" s="22" t="s">
        <v>932</v>
      </c>
      <c r="Q331" s="22" t="s">
        <v>1990</v>
      </c>
      <c r="R331" s="22" t="s">
        <v>42</v>
      </c>
      <c r="S331" s="88" t="s">
        <v>1991</v>
      </c>
      <c r="T331" s="22" t="s">
        <v>68</v>
      </c>
      <c r="U331" s="22" t="s">
        <v>1992</v>
      </c>
      <c r="V331" s="22" t="s">
        <v>1993</v>
      </c>
    </row>
    <row r="332" spans="2:22" ht="15" customHeight="1" x14ac:dyDescent="0.3">
      <c r="B332" s="22">
        <v>325</v>
      </c>
      <c r="C332" s="22" t="s">
        <v>1705</v>
      </c>
      <c r="D332" s="58" t="s">
        <v>2000</v>
      </c>
      <c r="E332" s="58" t="s">
        <v>2001</v>
      </c>
      <c r="F332" s="58" t="s">
        <v>390</v>
      </c>
      <c r="G332" s="58" t="s">
        <v>1956</v>
      </c>
      <c r="H332" s="58" t="s">
        <v>2002</v>
      </c>
      <c r="I332" s="58" t="s">
        <v>51</v>
      </c>
      <c r="J332" s="58">
        <v>2012</v>
      </c>
      <c r="K332" s="80" t="s">
        <v>68</v>
      </c>
      <c r="L332" s="81">
        <v>150</v>
      </c>
      <c r="M332" s="80" t="s">
        <v>68</v>
      </c>
      <c r="N332" s="80">
        <f t="shared" si="6"/>
        <v>150</v>
      </c>
      <c r="O332" s="58" t="s">
        <v>932</v>
      </c>
      <c r="P332" s="58" t="s">
        <v>932</v>
      </c>
      <c r="Q332" s="58" t="s">
        <v>2003</v>
      </c>
      <c r="R332" s="58" t="s">
        <v>2004</v>
      </c>
      <c r="S332" s="123" t="s">
        <v>2005</v>
      </c>
      <c r="T332" s="22" t="s">
        <v>68</v>
      </c>
      <c r="U332" s="58" t="s">
        <v>2006</v>
      </c>
      <c r="V332" s="58" t="s">
        <v>2007</v>
      </c>
    </row>
    <row r="333" spans="2:22" ht="15" customHeight="1" x14ac:dyDescent="0.3">
      <c r="B333" s="22">
        <v>326</v>
      </c>
      <c r="C333" s="22" t="s">
        <v>1705</v>
      </c>
      <c r="D333" s="58" t="s">
        <v>2000</v>
      </c>
      <c r="E333" s="58" t="s">
        <v>2008</v>
      </c>
      <c r="F333" s="58" t="s">
        <v>390</v>
      </c>
      <c r="G333" s="58" t="s">
        <v>1905</v>
      </c>
      <c r="H333" s="58" t="s">
        <v>2009</v>
      </c>
      <c r="I333" s="58" t="s">
        <v>51</v>
      </c>
      <c r="J333" s="58">
        <v>2012</v>
      </c>
      <c r="K333" s="80" t="s">
        <v>68</v>
      </c>
      <c r="L333" s="81">
        <v>150</v>
      </c>
      <c r="M333" s="80" t="s">
        <v>68</v>
      </c>
      <c r="N333" s="80">
        <f t="shared" si="6"/>
        <v>150</v>
      </c>
      <c r="O333" s="58" t="s">
        <v>1759</v>
      </c>
      <c r="P333" s="58" t="s">
        <v>1759</v>
      </c>
      <c r="Q333" s="58" t="s">
        <v>2010</v>
      </c>
      <c r="R333" s="58" t="s">
        <v>2004</v>
      </c>
      <c r="S333" s="123" t="s">
        <v>2005</v>
      </c>
      <c r="T333" s="22" t="s">
        <v>68</v>
      </c>
      <c r="U333" s="58" t="s">
        <v>2006</v>
      </c>
      <c r="V333" s="58" t="s">
        <v>2007</v>
      </c>
    </row>
    <row r="334" spans="2:22" ht="15" customHeight="1" x14ac:dyDescent="0.3">
      <c r="B334" s="22">
        <v>327</v>
      </c>
      <c r="C334" s="22" t="s">
        <v>1705</v>
      </c>
      <c r="D334" s="58" t="s">
        <v>2000</v>
      </c>
      <c r="E334" s="58" t="s">
        <v>2011</v>
      </c>
      <c r="F334" s="58" t="s">
        <v>390</v>
      </c>
      <c r="G334" s="58" t="s">
        <v>1913</v>
      </c>
      <c r="H334" s="58" t="s">
        <v>2012</v>
      </c>
      <c r="I334" s="58" t="s">
        <v>51</v>
      </c>
      <c r="J334" s="58">
        <v>1999</v>
      </c>
      <c r="K334" s="80" t="s">
        <v>68</v>
      </c>
      <c r="L334" s="81">
        <v>150</v>
      </c>
      <c r="M334" s="80" t="s">
        <v>68</v>
      </c>
      <c r="N334" s="80">
        <f t="shared" si="6"/>
        <v>150</v>
      </c>
      <c r="O334" s="58" t="s">
        <v>1759</v>
      </c>
      <c r="P334" s="58" t="s">
        <v>1759</v>
      </c>
      <c r="Q334" s="58" t="s">
        <v>2013</v>
      </c>
      <c r="R334" s="58" t="s">
        <v>2004</v>
      </c>
      <c r="S334" s="123" t="s">
        <v>2005</v>
      </c>
      <c r="T334" s="22" t="s">
        <v>68</v>
      </c>
      <c r="U334" s="58" t="s">
        <v>2006</v>
      </c>
      <c r="V334" s="58" t="s">
        <v>2007</v>
      </c>
    </row>
    <row r="335" spans="2:22" ht="15" customHeight="1" x14ac:dyDescent="0.3">
      <c r="B335" s="22">
        <v>328</v>
      </c>
      <c r="C335" s="22" t="s">
        <v>1705</v>
      </c>
      <c r="D335" s="58" t="s">
        <v>2000</v>
      </c>
      <c r="E335" s="58" t="s">
        <v>2014</v>
      </c>
      <c r="F335" s="58" t="s">
        <v>95</v>
      </c>
      <c r="G335" s="58" t="s">
        <v>2015</v>
      </c>
      <c r="H335" s="58" t="s">
        <v>2016</v>
      </c>
      <c r="I335" s="58" t="s">
        <v>51</v>
      </c>
      <c r="J335" s="58">
        <v>2018</v>
      </c>
      <c r="K335" s="80" t="s">
        <v>68</v>
      </c>
      <c r="L335" s="81">
        <v>80</v>
      </c>
      <c r="M335" s="81">
        <v>50</v>
      </c>
      <c r="N335" s="80">
        <f t="shared" si="6"/>
        <v>130</v>
      </c>
      <c r="O335" s="58" t="s">
        <v>1759</v>
      </c>
      <c r="P335" s="58" t="s">
        <v>1759</v>
      </c>
      <c r="Q335" s="58" t="s">
        <v>2017</v>
      </c>
      <c r="R335" s="58" t="s">
        <v>2004</v>
      </c>
      <c r="S335" s="123" t="s">
        <v>2005</v>
      </c>
      <c r="T335" s="22" t="s">
        <v>68</v>
      </c>
      <c r="U335" s="58" t="s">
        <v>2006</v>
      </c>
      <c r="V335" s="58" t="s">
        <v>2007</v>
      </c>
    </row>
    <row r="336" spans="2:22" ht="15" customHeight="1" x14ac:dyDescent="0.3">
      <c r="B336" s="22">
        <v>329</v>
      </c>
      <c r="C336" s="22" t="s">
        <v>1705</v>
      </c>
      <c r="D336" s="58" t="s">
        <v>2000</v>
      </c>
      <c r="E336" s="58" t="s">
        <v>2018</v>
      </c>
      <c r="F336" s="58" t="s">
        <v>50</v>
      </c>
      <c r="G336" s="58" t="s">
        <v>2019</v>
      </c>
      <c r="H336" s="58" t="s">
        <v>2020</v>
      </c>
      <c r="I336" s="58" t="s">
        <v>51</v>
      </c>
      <c r="J336" s="58">
        <v>1986</v>
      </c>
      <c r="K336" s="80" t="s">
        <v>68</v>
      </c>
      <c r="L336" s="81">
        <v>100</v>
      </c>
      <c r="M336" s="81" t="s">
        <v>68</v>
      </c>
      <c r="N336" s="80">
        <f t="shared" si="6"/>
        <v>100</v>
      </c>
      <c r="O336" s="58" t="s">
        <v>1759</v>
      </c>
      <c r="P336" s="58" t="s">
        <v>1759</v>
      </c>
      <c r="Q336" s="58" t="s">
        <v>2021</v>
      </c>
      <c r="R336" s="58" t="s">
        <v>2004</v>
      </c>
      <c r="S336" s="123" t="s">
        <v>2005</v>
      </c>
      <c r="T336" s="22" t="s">
        <v>68</v>
      </c>
      <c r="U336" s="58" t="s">
        <v>2006</v>
      </c>
      <c r="V336" s="58" t="s">
        <v>2007</v>
      </c>
    </row>
    <row r="337" spans="2:22" ht="15" customHeight="1" x14ac:dyDescent="0.3">
      <c r="B337" s="22">
        <v>330</v>
      </c>
      <c r="C337" s="22" t="s">
        <v>1705</v>
      </c>
      <c r="D337" s="22" t="s">
        <v>2022</v>
      </c>
      <c r="E337" s="22" t="s">
        <v>2023</v>
      </c>
      <c r="F337" s="22" t="s">
        <v>50</v>
      </c>
      <c r="G337" s="22" t="s">
        <v>2024</v>
      </c>
      <c r="H337" s="22" t="s">
        <v>2025</v>
      </c>
      <c r="I337" s="22" t="s">
        <v>67</v>
      </c>
      <c r="J337" s="22">
        <v>1967</v>
      </c>
      <c r="K337" s="80" t="s">
        <v>68</v>
      </c>
      <c r="L337" s="80">
        <v>980</v>
      </c>
      <c r="M337" s="80" t="s">
        <v>68</v>
      </c>
      <c r="N337" s="80">
        <f t="shared" si="6"/>
        <v>980</v>
      </c>
      <c r="O337" s="76" t="s">
        <v>2026</v>
      </c>
      <c r="P337" s="58" t="s">
        <v>932</v>
      </c>
      <c r="Q337" s="22" t="s">
        <v>2027</v>
      </c>
      <c r="R337" s="22" t="s">
        <v>42</v>
      </c>
      <c r="S337" s="88" t="s">
        <v>2028</v>
      </c>
      <c r="T337" s="22" t="s">
        <v>68</v>
      </c>
      <c r="U337" s="22" t="s">
        <v>2029</v>
      </c>
      <c r="V337" s="22" t="s">
        <v>2030</v>
      </c>
    </row>
    <row r="338" spans="2:22" ht="15" customHeight="1" x14ac:dyDescent="0.3">
      <c r="B338" s="22">
        <v>331</v>
      </c>
      <c r="C338" s="22" t="s">
        <v>1705</v>
      </c>
      <c r="D338" s="22" t="s">
        <v>2022</v>
      </c>
      <c r="E338" s="22" t="s">
        <v>2031</v>
      </c>
      <c r="F338" s="22" t="s">
        <v>55</v>
      </c>
      <c r="G338" s="22" t="s">
        <v>2032</v>
      </c>
      <c r="H338" s="22" t="s">
        <v>2033</v>
      </c>
      <c r="I338" s="22" t="s">
        <v>67</v>
      </c>
      <c r="J338" s="22">
        <v>2002</v>
      </c>
      <c r="K338" s="80" t="s">
        <v>68</v>
      </c>
      <c r="L338" s="80">
        <v>596</v>
      </c>
      <c r="M338" s="80" t="s">
        <v>68</v>
      </c>
      <c r="N338" s="80">
        <f t="shared" si="6"/>
        <v>596</v>
      </c>
      <c r="O338" s="76" t="s">
        <v>2034</v>
      </c>
      <c r="P338" s="58" t="s">
        <v>932</v>
      </c>
      <c r="Q338" s="22" t="s">
        <v>2027</v>
      </c>
      <c r="R338" s="22" t="s">
        <v>42</v>
      </c>
      <c r="S338" s="88" t="s">
        <v>2028</v>
      </c>
      <c r="T338" s="22" t="s">
        <v>68</v>
      </c>
      <c r="U338" s="22" t="s">
        <v>2029</v>
      </c>
      <c r="V338" s="22" t="s">
        <v>2030</v>
      </c>
    </row>
    <row r="339" spans="2:22" ht="15" customHeight="1" x14ac:dyDescent="0.3">
      <c r="B339" s="22">
        <v>332</v>
      </c>
      <c r="C339" s="22" t="s">
        <v>1705</v>
      </c>
      <c r="D339" s="22" t="s">
        <v>2022</v>
      </c>
      <c r="E339" s="22" t="s">
        <v>2035</v>
      </c>
      <c r="F339" s="22" t="s">
        <v>55</v>
      </c>
      <c r="G339" s="22" t="s">
        <v>2036</v>
      </c>
      <c r="H339" s="22" t="s">
        <v>2037</v>
      </c>
      <c r="I339" s="22" t="s">
        <v>67</v>
      </c>
      <c r="J339" s="22">
        <v>1997</v>
      </c>
      <c r="K339" s="80" t="s">
        <v>68</v>
      </c>
      <c r="L339" s="80">
        <v>779</v>
      </c>
      <c r="M339" s="80" t="s">
        <v>68</v>
      </c>
      <c r="N339" s="80">
        <f t="shared" si="6"/>
        <v>779</v>
      </c>
      <c r="O339" s="76" t="s">
        <v>1899</v>
      </c>
      <c r="P339" s="58" t="s">
        <v>932</v>
      </c>
      <c r="Q339" s="22" t="s">
        <v>2027</v>
      </c>
      <c r="R339" s="22" t="s">
        <v>42</v>
      </c>
      <c r="S339" s="88" t="s">
        <v>2028</v>
      </c>
      <c r="T339" s="22" t="s">
        <v>68</v>
      </c>
      <c r="U339" s="22" t="s">
        <v>2029</v>
      </c>
      <c r="V339" s="22" t="s">
        <v>2030</v>
      </c>
    </row>
    <row r="340" spans="2:22" ht="15" customHeight="1" x14ac:dyDescent="0.3">
      <c r="B340" s="22">
        <v>333</v>
      </c>
      <c r="C340" s="22" t="s">
        <v>1705</v>
      </c>
      <c r="D340" s="22" t="s">
        <v>2022</v>
      </c>
      <c r="E340" s="22" t="s">
        <v>2038</v>
      </c>
      <c r="F340" s="22" t="s">
        <v>50</v>
      </c>
      <c r="G340" s="22" t="s">
        <v>2039</v>
      </c>
      <c r="H340" s="22" t="s">
        <v>2040</v>
      </c>
      <c r="I340" s="22" t="s">
        <v>67</v>
      </c>
      <c r="J340" s="22">
        <v>1998</v>
      </c>
      <c r="K340" s="80" t="s">
        <v>68</v>
      </c>
      <c r="L340" s="80">
        <v>493</v>
      </c>
      <c r="M340" s="80" t="s">
        <v>68</v>
      </c>
      <c r="N340" s="80">
        <f t="shared" si="6"/>
        <v>493</v>
      </c>
      <c r="O340" s="76" t="s">
        <v>2041</v>
      </c>
      <c r="P340" s="58" t="s">
        <v>932</v>
      </c>
      <c r="Q340" s="22" t="s">
        <v>2027</v>
      </c>
      <c r="R340" s="22" t="s">
        <v>42</v>
      </c>
      <c r="S340" s="88" t="s">
        <v>2028</v>
      </c>
      <c r="T340" s="22" t="s">
        <v>68</v>
      </c>
      <c r="U340" s="22" t="s">
        <v>2029</v>
      </c>
      <c r="V340" s="22" t="s">
        <v>2030</v>
      </c>
    </row>
    <row r="341" spans="2:22" ht="15" customHeight="1" x14ac:dyDescent="0.3">
      <c r="B341" s="22">
        <v>334</v>
      </c>
      <c r="C341" s="22" t="s">
        <v>1705</v>
      </c>
      <c r="D341" s="22" t="s">
        <v>2022</v>
      </c>
      <c r="E341" s="22" t="s">
        <v>2042</v>
      </c>
      <c r="F341" s="22" t="s">
        <v>55</v>
      </c>
      <c r="G341" s="22" t="s">
        <v>2043</v>
      </c>
      <c r="H341" s="22" t="s">
        <v>2044</v>
      </c>
      <c r="I341" s="22" t="s">
        <v>67</v>
      </c>
      <c r="J341" s="22">
        <v>2020</v>
      </c>
      <c r="K341" s="80" t="s">
        <v>68</v>
      </c>
      <c r="L341" s="80">
        <v>165</v>
      </c>
      <c r="M341" s="80" t="s">
        <v>68</v>
      </c>
      <c r="N341" s="80">
        <f t="shared" si="6"/>
        <v>165</v>
      </c>
      <c r="O341" s="76" t="s">
        <v>1732</v>
      </c>
      <c r="P341" s="58" t="s">
        <v>932</v>
      </c>
      <c r="Q341" s="22" t="s">
        <v>2045</v>
      </c>
      <c r="R341" s="22" t="s">
        <v>877</v>
      </c>
      <c r="S341" s="88" t="s">
        <v>68</v>
      </c>
      <c r="T341" s="22" t="s">
        <v>68</v>
      </c>
      <c r="U341" s="22" t="s">
        <v>2029</v>
      </c>
      <c r="V341" s="22" t="s">
        <v>2030</v>
      </c>
    </row>
    <row r="342" spans="2:22" ht="15" customHeight="1" x14ac:dyDescent="0.3">
      <c r="B342" s="22">
        <v>335</v>
      </c>
      <c r="C342" s="22" t="s">
        <v>1705</v>
      </c>
      <c r="D342" s="22" t="s">
        <v>2046</v>
      </c>
      <c r="E342" s="22" t="s">
        <v>2047</v>
      </c>
      <c r="F342" s="22" t="s">
        <v>95</v>
      </c>
      <c r="G342" s="22" t="s">
        <v>2048</v>
      </c>
      <c r="H342" s="22" t="s">
        <v>2049</v>
      </c>
      <c r="I342" s="22" t="s">
        <v>51</v>
      </c>
      <c r="J342" s="22">
        <v>1993</v>
      </c>
      <c r="K342" s="80" t="s">
        <v>68</v>
      </c>
      <c r="L342" s="80">
        <v>280</v>
      </c>
      <c r="M342" s="80" t="s">
        <v>68</v>
      </c>
      <c r="N342" s="80">
        <f t="shared" ref="N342:N380" si="7">SUM(K342:M342)</f>
        <v>280</v>
      </c>
      <c r="O342" s="76" t="s">
        <v>2050</v>
      </c>
      <c r="P342" s="22" t="s">
        <v>932</v>
      </c>
      <c r="Q342" s="22" t="s">
        <v>2051</v>
      </c>
      <c r="R342" s="22" t="s">
        <v>888</v>
      </c>
      <c r="S342" s="123" t="s">
        <v>2052</v>
      </c>
      <c r="T342" s="22" t="s">
        <v>68</v>
      </c>
      <c r="U342" s="22" t="s">
        <v>2053</v>
      </c>
      <c r="V342" s="22" t="s">
        <v>2054</v>
      </c>
    </row>
    <row r="343" spans="2:22" ht="15" customHeight="1" x14ac:dyDescent="0.3">
      <c r="B343" s="22">
        <v>336</v>
      </c>
      <c r="C343" s="22" t="s">
        <v>1705</v>
      </c>
      <c r="D343" s="22" t="s">
        <v>2046</v>
      </c>
      <c r="E343" s="22" t="s">
        <v>2055</v>
      </c>
      <c r="F343" s="22" t="s">
        <v>95</v>
      </c>
      <c r="G343" s="22" t="s">
        <v>1930</v>
      </c>
      <c r="H343" s="22" t="s">
        <v>2056</v>
      </c>
      <c r="I343" s="22" t="s">
        <v>51</v>
      </c>
      <c r="J343" s="22">
        <v>2013</v>
      </c>
      <c r="K343" s="80" t="s">
        <v>68</v>
      </c>
      <c r="L343" s="80">
        <v>100</v>
      </c>
      <c r="M343" s="80" t="s">
        <v>68</v>
      </c>
      <c r="N343" s="80">
        <f t="shared" si="7"/>
        <v>100</v>
      </c>
      <c r="O343" s="22" t="s">
        <v>1759</v>
      </c>
      <c r="P343" s="22" t="s">
        <v>1759</v>
      </c>
      <c r="Q343" s="22" t="s">
        <v>2057</v>
      </c>
      <c r="R343" s="22" t="s">
        <v>888</v>
      </c>
      <c r="S343" s="123" t="s">
        <v>2052</v>
      </c>
      <c r="T343" s="22" t="s">
        <v>68</v>
      </c>
      <c r="U343" s="22" t="s">
        <v>2058</v>
      </c>
      <c r="V343" s="22" t="s">
        <v>2059</v>
      </c>
    </row>
    <row r="344" spans="2:22" ht="15" customHeight="1" x14ac:dyDescent="0.3">
      <c r="B344" s="22">
        <v>337</v>
      </c>
      <c r="C344" s="22" t="s">
        <v>1705</v>
      </c>
      <c r="D344" s="22" t="s">
        <v>2046</v>
      </c>
      <c r="E344" s="22" t="s">
        <v>2060</v>
      </c>
      <c r="F344" s="22" t="s">
        <v>55</v>
      </c>
      <c r="G344" s="65" t="s">
        <v>1956</v>
      </c>
      <c r="H344" s="22" t="s">
        <v>2061</v>
      </c>
      <c r="I344" s="22" t="s">
        <v>51</v>
      </c>
      <c r="J344" s="22">
        <v>2015</v>
      </c>
      <c r="K344" s="80" t="s">
        <v>68</v>
      </c>
      <c r="L344" s="80">
        <v>100</v>
      </c>
      <c r="M344" s="80" t="s">
        <v>68</v>
      </c>
      <c r="N344" s="80">
        <f t="shared" si="7"/>
        <v>100</v>
      </c>
      <c r="O344" s="22" t="s">
        <v>932</v>
      </c>
      <c r="P344" s="22" t="s">
        <v>932</v>
      </c>
      <c r="Q344" s="22" t="s">
        <v>2062</v>
      </c>
      <c r="R344" s="22" t="s">
        <v>888</v>
      </c>
      <c r="S344" s="123" t="s">
        <v>2052</v>
      </c>
      <c r="T344" s="22" t="s">
        <v>68</v>
      </c>
      <c r="U344" s="22" t="s">
        <v>2063</v>
      </c>
      <c r="V344" s="22" t="s">
        <v>2064</v>
      </c>
    </row>
    <row r="345" spans="2:22" ht="15" customHeight="1" x14ac:dyDescent="0.3">
      <c r="B345" s="22">
        <v>338</v>
      </c>
      <c r="C345" s="22" t="s">
        <v>1705</v>
      </c>
      <c r="D345" s="22" t="s">
        <v>2046</v>
      </c>
      <c r="E345" s="22" t="s">
        <v>2065</v>
      </c>
      <c r="F345" s="22" t="s">
        <v>55</v>
      </c>
      <c r="G345" s="22" t="s">
        <v>1905</v>
      </c>
      <c r="H345" s="22" t="s">
        <v>2066</v>
      </c>
      <c r="I345" s="22" t="s">
        <v>51</v>
      </c>
      <c r="J345" s="22">
        <v>1998</v>
      </c>
      <c r="K345" s="80">
        <v>30</v>
      </c>
      <c r="L345" s="80">
        <v>590</v>
      </c>
      <c r="M345" s="80">
        <v>40</v>
      </c>
      <c r="N345" s="80">
        <f t="shared" si="7"/>
        <v>660</v>
      </c>
      <c r="O345" s="22" t="s">
        <v>1759</v>
      </c>
      <c r="P345" s="22" t="s">
        <v>1759</v>
      </c>
      <c r="Q345" s="22" t="s">
        <v>2067</v>
      </c>
      <c r="R345" s="22" t="s">
        <v>888</v>
      </c>
      <c r="S345" s="123" t="s">
        <v>2052</v>
      </c>
      <c r="T345" s="22" t="s">
        <v>43</v>
      </c>
      <c r="U345" s="22" t="s">
        <v>2058</v>
      </c>
      <c r="V345" s="22" t="s">
        <v>2059</v>
      </c>
    </row>
    <row r="346" spans="2:22" ht="15" customHeight="1" x14ac:dyDescent="0.3">
      <c r="B346" s="22">
        <v>339</v>
      </c>
      <c r="C346" s="22" t="s">
        <v>1705</v>
      </c>
      <c r="D346" s="22" t="s">
        <v>2046</v>
      </c>
      <c r="E346" s="22" t="s">
        <v>2068</v>
      </c>
      <c r="F346" s="22" t="s">
        <v>95</v>
      </c>
      <c r="G346" s="22" t="s">
        <v>1905</v>
      </c>
      <c r="H346" s="22" t="s">
        <v>2069</v>
      </c>
      <c r="I346" s="22" t="s">
        <v>51</v>
      </c>
      <c r="J346" s="22">
        <v>2015</v>
      </c>
      <c r="K346" s="80" t="s">
        <v>68</v>
      </c>
      <c r="L346" s="80">
        <v>100</v>
      </c>
      <c r="M346" s="80" t="s">
        <v>68</v>
      </c>
      <c r="N346" s="80">
        <f t="shared" si="7"/>
        <v>100</v>
      </c>
      <c r="O346" s="22" t="s">
        <v>1759</v>
      </c>
      <c r="P346" s="22" t="s">
        <v>1759</v>
      </c>
      <c r="Q346" s="22" t="s">
        <v>2070</v>
      </c>
      <c r="R346" s="22" t="s">
        <v>888</v>
      </c>
      <c r="S346" s="123" t="s">
        <v>2052</v>
      </c>
      <c r="T346" s="22" t="s">
        <v>68</v>
      </c>
      <c r="U346" s="22" t="s">
        <v>2053</v>
      </c>
      <c r="V346" s="22" t="s">
        <v>2054</v>
      </c>
    </row>
    <row r="347" spans="2:22" ht="15" customHeight="1" x14ac:dyDescent="0.3">
      <c r="B347" s="22">
        <v>340</v>
      </c>
      <c r="C347" s="22" t="s">
        <v>1705</v>
      </c>
      <c r="D347" s="22" t="s">
        <v>2046</v>
      </c>
      <c r="E347" s="22" t="s">
        <v>2071</v>
      </c>
      <c r="F347" s="22" t="s">
        <v>2072</v>
      </c>
      <c r="G347" s="22" t="s">
        <v>2073</v>
      </c>
      <c r="H347" s="22" t="s">
        <v>2074</v>
      </c>
      <c r="I347" s="22" t="s">
        <v>51</v>
      </c>
      <c r="J347" s="22">
        <v>2007</v>
      </c>
      <c r="K347" s="80">
        <v>30</v>
      </c>
      <c r="L347" s="80">
        <v>30</v>
      </c>
      <c r="M347" s="80" t="s">
        <v>68</v>
      </c>
      <c r="N347" s="80">
        <f t="shared" si="7"/>
        <v>60</v>
      </c>
      <c r="O347" s="22" t="s">
        <v>1759</v>
      </c>
      <c r="P347" s="22" t="s">
        <v>1759</v>
      </c>
      <c r="Q347" s="22" t="s">
        <v>2075</v>
      </c>
      <c r="R347" s="22" t="s">
        <v>888</v>
      </c>
      <c r="S347" s="123" t="s">
        <v>2052</v>
      </c>
      <c r="T347" s="22" t="s">
        <v>43</v>
      </c>
      <c r="U347" s="22" t="s">
        <v>2058</v>
      </c>
      <c r="V347" s="22" t="s">
        <v>2059</v>
      </c>
    </row>
    <row r="348" spans="2:22" ht="15" customHeight="1" x14ac:dyDescent="0.3">
      <c r="B348" s="22">
        <v>341</v>
      </c>
      <c r="C348" s="22" t="s">
        <v>1705</v>
      </c>
      <c r="D348" s="22" t="s">
        <v>2046</v>
      </c>
      <c r="E348" s="22" t="s">
        <v>2076</v>
      </c>
      <c r="F348" s="22" t="s">
        <v>55</v>
      </c>
      <c r="G348" s="65" t="s">
        <v>1905</v>
      </c>
      <c r="H348" s="22" t="s">
        <v>2077</v>
      </c>
      <c r="I348" s="22" t="s">
        <v>51</v>
      </c>
      <c r="J348" s="22">
        <v>2019</v>
      </c>
      <c r="K348" s="80" t="s">
        <v>68</v>
      </c>
      <c r="L348" s="80">
        <v>200</v>
      </c>
      <c r="M348" s="80" t="s">
        <v>68</v>
      </c>
      <c r="N348" s="80">
        <f t="shared" si="7"/>
        <v>200</v>
      </c>
      <c r="O348" s="22" t="s">
        <v>1759</v>
      </c>
      <c r="P348" s="22" t="s">
        <v>1759</v>
      </c>
      <c r="Q348" s="22" t="s">
        <v>2078</v>
      </c>
      <c r="R348" s="22" t="s">
        <v>888</v>
      </c>
      <c r="S348" s="123" t="s">
        <v>2052</v>
      </c>
      <c r="T348" s="22" t="s">
        <v>68</v>
      </c>
      <c r="U348" s="22" t="s">
        <v>2063</v>
      </c>
      <c r="V348" s="22" t="s">
        <v>2064</v>
      </c>
    </row>
    <row r="349" spans="2:22" ht="15" customHeight="1" x14ac:dyDescent="0.3">
      <c r="B349" s="22">
        <v>342</v>
      </c>
      <c r="C349" s="22" t="s">
        <v>1705</v>
      </c>
      <c r="D349" s="22" t="s">
        <v>2046</v>
      </c>
      <c r="E349" s="22" t="s">
        <v>2079</v>
      </c>
      <c r="F349" s="22" t="s">
        <v>55</v>
      </c>
      <c r="G349" s="22" t="s">
        <v>2080</v>
      </c>
      <c r="H349" s="22" t="s">
        <v>2081</v>
      </c>
      <c r="I349" s="22" t="s">
        <v>51</v>
      </c>
      <c r="J349" s="22">
        <v>2004</v>
      </c>
      <c r="K349" s="80" t="s">
        <v>68</v>
      </c>
      <c r="L349" s="80">
        <v>1800</v>
      </c>
      <c r="M349" s="80">
        <v>600</v>
      </c>
      <c r="N349" s="80">
        <f t="shared" si="7"/>
        <v>2400</v>
      </c>
      <c r="O349" s="76" t="s">
        <v>2082</v>
      </c>
      <c r="P349" s="22" t="s">
        <v>932</v>
      </c>
      <c r="Q349" s="22" t="s">
        <v>2083</v>
      </c>
      <c r="R349" s="22" t="s">
        <v>42</v>
      </c>
      <c r="S349" s="84" t="s">
        <v>2084</v>
      </c>
      <c r="T349" s="22" t="s">
        <v>68</v>
      </c>
      <c r="U349" s="22" t="s">
        <v>2085</v>
      </c>
      <c r="V349" s="22" t="s">
        <v>2086</v>
      </c>
    </row>
    <row r="350" spans="2:22" ht="15" customHeight="1" x14ac:dyDescent="0.3">
      <c r="B350" s="22">
        <v>343</v>
      </c>
      <c r="C350" s="22" t="s">
        <v>1705</v>
      </c>
      <c r="D350" s="22" t="s">
        <v>2046</v>
      </c>
      <c r="E350" s="22" t="s">
        <v>2087</v>
      </c>
      <c r="F350" s="22" t="s">
        <v>55</v>
      </c>
      <c r="G350" s="22" t="s">
        <v>1922</v>
      </c>
      <c r="H350" s="22" t="s">
        <v>2088</v>
      </c>
      <c r="I350" s="22" t="s">
        <v>51</v>
      </c>
      <c r="J350" s="22">
        <v>2019</v>
      </c>
      <c r="K350" s="80" t="s">
        <v>68</v>
      </c>
      <c r="L350" s="80">
        <v>2100</v>
      </c>
      <c r="M350" s="80">
        <v>100</v>
      </c>
      <c r="N350" s="80">
        <f t="shared" si="7"/>
        <v>2200</v>
      </c>
      <c r="O350" s="76" t="s">
        <v>2089</v>
      </c>
      <c r="P350" s="22" t="s">
        <v>932</v>
      </c>
      <c r="Q350" s="22" t="s">
        <v>2090</v>
      </c>
      <c r="R350" s="22" t="s">
        <v>173</v>
      </c>
      <c r="S350" s="84" t="s">
        <v>2084</v>
      </c>
      <c r="T350" s="22" t="s">
        <v>68</v>
      </c>
      <c r="U350" s="22" t="s">
        <v>2091</v>
      </c>
      <c r="V350" s="22" t="s">
        <v>2092</v>
      </c>
    </row>
    <row r="351" spans="2:22" ht="15" customHeight="1" x14ac:dyDescent="0.3">
      <c r="B351" s="22">
        <v>344</v>
      </c>
      <c r="C351" s="22" t="s">
        <v>1705</v>
      </c>
      <c r="D351" s="22" t="s">
        <v>2046</v>
      </c>
      <c r="E351" s="22" t="s">
        <v>2093</v>
      </c>
      <c r="F351" s="22" t="s">
        <v>55</v>
      </c>
      <c r="G351" s="22" t="s">
        <v>1913</v>
      </c>
      <c r="H351" s="22" t="s">
        <v>2094</v>
      </c>
      <c r="I351" s="22" t="s">
        <v>51</v>
      </c>
      <c r="J351" s="22">
        <v>2022</v>
      </c>
      <c r="K351" s="80" t="s">
        <v>68</v>
      </c>
      <c r="L351" s="80">
        <v>1100</v>
      </c>
      <c r="M351" s="80">
        <v>730</v>
      </c>
      <c r="N351" s="80">
        <f t="shared" si="7"/>
        <v>1830</v>
      </c>
      <c r="O351" s="22" t="s">
        <v>932</v>
      </c>
      <c r="P351" s="22" t="s">
        <v>932</v>
      </c>
      <c r="Q351" s="22" t="s">
        <v>2083</v>
      </c>
      <c r="R351" s="22" t="s">
        <v>42</v>
      </c>
      <c r="S351" s="84" t="s">
        <v>2084</v>
      </c>
      <c r="T351" s="22" t="s">
        <v>68</v>
      </c>
      <c r="U351" s="22" t="s">
        <v>2095</v>
      </c>
      <c r="V351" s="22" t="s">
        <v>2096</v>
      </c>
    </row>
    <row r="352" spans="2:22" ht="15" customHeight="1" x14ac:dyDescent="0.3">
      <c r="B352" s="22">
        <v>345</v>
      </c>
      <c r="C352" s="22" t="s">
        <v>1705</v>
      </c>
      <c r="D352" s="36" t="s">
        <v>2046</v>
      </c>
      <c r="E352" s="36" t="s">
        <v>2097</v>
      </c>
      <c r="F352" s="36" t="s">
        <v>55</v>
      </c>
      <c r="G352" s="36" t="s">
        <v>1913</v>
      </c>
      <c r="H352" s="36" t="s">
        <v>2098</v>
      </c>
      <c r="I352" s="36" t="s">
        <v>51</v>
      </c>
      <c r="J352" s="36">
        <v>2004</v>
      </c>
      <c r="K352" s="80" t="s">
        <v>68</v>
      </c>
      <c r="L352" s="96">
        <v>280</v>
      </c>
      <c r="M352" s="96" t="s">
        <v>68</v>
      </c>
      <c r="N352" s="80">
        <f t="shared" si="7"/>
        <v>280</v>
      </c>
      <c r="O352" s="22" t="s">
        <v>932</v>
      </c>
      <c r="P352" s="36" t="s">
        <v>932</v>
      </c>
      <c r="Q352" s="49" t="s">
        <v>2099</v>
      </c>
      <c r="R352" s="49" t="s">
        <v>2100</v>
      </c>
      <c r="S352" s="84" t="s">
        <v>68</v>
      </c>
      <c r="T352" s="22" t="s">
        <v>68</v>
      </c>
      <c r="U352" s="36" t="s">
        <v>2101</v>
      </c>
      <c r="V352" s="36" t="s">
        <v>2102</v>
      </c>
    </row>
    <row r="353" spans="2:22" ht="15" customHeight="1" x14ac:dyDescent="0.3">
      <c r="B353" s="22">
        <v>346</v>
      </c>
      <c r="C353" s="22" t="s">
        <v>1705</v>
      </c>
      <c r="D353" s="75" t="s">
        <v>2103</v>
      </c>
      <c r="E353" s="75" t="s">
        <v>2104</v>
      </c>
      <c r="F353" s="36" t="s">
        <v>95</v>
      </c>
      <c r="G353" s="36" t="s">
        <v>1956</v>
      </c>
      <c r="H353" s="36" t="s">
        <v>2105</v>
      </c>
      <c r="I353" s="36" t="s">
        <v>422</v>
      </c>
      <c r="J353" s="36">
        <v>2006</v>
      </c>
      <c r="K353" s="80" t="s">
        <v>68</v>
      </c>
      <c r="L353" s="80">
        <v>10</v>
      </c>
      <c r="M353" s="96" t="s">
        <v>68</v>
      </c>
      <c r="N353" s="80">
        <f t="shared" si="7"/>
        <v>10</v>
      </c>
      <c r="O353" s="36" t="s">
        <v>932</v>
      </c>
      <c r="P353" s="5" t="s">
        <v>932</v>
      </c>
      <c r="Q353" s="5" t="s">
        <v>2106</v>
      </c>
      <c r="R353" s="5" t="s">
        <v>1284</v>
      </c>
      <c r="S353" s="132" t="s">
        <v>68</v>
      </c>
      <c r="T353" s="22" t="s">
        <v>68</v>
      </c>
      <c r="U353" s="22"/>
      <c r="V353" s="22"/>
    </row>
    <row r="354" spans="2:22" ht="15" customHeight="1" x14ac:dyDescent="0.3">
      <c r="B354" s="22">
        <v>347</v>
      </c>
      <c r="C354" s="22" t="s">
        <v>1705</v>
      </c>
      <c r="D354" s="75" t="s">
        <v>2103</v>
      </c>
      <c r="E354" s="75" t="s">
        <v>2107</v>
      </c>
      <c r="F354" s="5" t="s">
        <v>50</v>
      </c>
      <c r="G354" s="5" t="s">
        <v>1905</v>
      </c>
      <c r="H354" s="5" t="s">
        <v>2108</v>
      </c>
      <c r="I354" s="5" t="s">
        <v>422</v>
      </c>
      <c r="J354" s="36">
        <v>1976</v>
      </c>
      <c r="K354" s="96">
        <v>30</v>
      </c>
      <c r="L354" s="106">
        <v>988</v>
      </c>
      <c r="M354" s="96" t="s">
        <v>68</v>
      </c>
      <c r="N354" s="80">
        <f t="shared" si="7"/>
        <v>1018</v>
      </c>
      <c r="O354" s="22" t="s">
        <v>1759</v>
      </c>
      <c r="P354" s="22" t="s">
        <v>1759</v>
      </c>
      <c r="Q354" s="5" t="s">
        <v>2109</v>
      </c>
      <c r="R354" s="5" t="s">
        <v>42</v>
      </c>
      <c r="S354" s="124" t="s">
        <v>2110</v>
      </c>
      <c r="T354" s="36" t="s">
        <v>43</v>
      </c>
      <c r="U354" s="36" t="s">
        <v>2111</v>
      </c>
      <c r="V354" s="36" t="s">
        <v>2112</v>
      </c>
    </row>
    <row r="355" spans="2:22" ht="15" customHeight="1" x14ac:dyDescent="0.3">
      <c r="B355" s="22">
        <v>348</v>
      </c>
      <c r="C355" s="22" t="s">
        <v>1705</v>
      </c>
      <c r="D355" s="75" t="s">
        <v>2103</v>
      </c>
      <c r="E355" s="75" t="s">
        <v>2113</v>
      </c>
      <c r="F355" s="22" t="s">
        <v>390</v>
      </c>
      <c r="G355" s="22" t="s">
        <v>2114</v>
      </c>
      <c r="H355" s="22" t="s">
        <v>2115</v>
      </c>
      <c r="I355" s="22" t="s">
        <v>422</v>
      </c>
      <c r="J355" s="22">
        <v>2017</v>
      </c>
      <c r="K355" s="80" t="s">
        <v>68</v>
      </c>
      <c r="L355" s="80">
        <v>20</v>
      </c>
      <c r="M355" s="80">
        <v>80</v>
      </c>
      <c r="N355" s="80">
        <f t="shared" si="7"/>
        <v>100</v>
      </c>
      <c r="O355" s="22" t="s">
        <v>1759</v>
      </c>
      <c r="P355" s="22" t="s">
        <v>1759</v>
      </c>
      <c r="Q355" s="5" t="s">
        <v>2116</v>
      </c>
      <c r="R355" s="5" t="s">
        <v>1284</v>
      </c>
      <c r="S355" s="88" t="s">
        <v>68</v>
      </c>
      <c r="T355" s="22" t="s">
        <v>68</v>
      </c>
      <c r="U355" s="22" t="s">
        <v>2117</v>
      </c>
      <c r="V355" s="22" t="s">
        <v>2118</v>
      </c>
    </row>
    <row r="356" spans="2:22" ht="15" customHeight="1" x14ac:dyDescent="0.3">
      <c r="B356" s="22">
        <v>349</v>
      </c>
      <c r="C356" s="22" t="s">
        <v>1705</v>
      </c>
      <c r="D356" s="22" t="s">
        <v>2119</v>
      </c>
      <c r="E356" s="22" t="s">
        <v>2120</v>
      </c>
      <c r="F356" s="22" t="s">
        <v>1015</v>
      </c>
      <c r="G356" s="22" t="s">
        <v>1913</v>
      </c>
      <c r="H356" s="22" t="s">
        <v>2121</v>
      </c>
      <c r="I356" s="22" t="s">
        <v>51</v>
      </c>
      <c r="J356" s="22">
        <v>1991</v>
      </c>
      <c r="K356" s="80" t="s">
        <v>68</v>
      </c>
      <c r="L356" s="80">
        <v>773</v>
      </c>
      <c r="M356" s="80" t="s">
        <v>68</v>
      </c>
      <c r="N356" s="80">
        <f t="shared" si="7"/>
        <v>773</v>
      </c>
      <c r="O356" s="22" t="s">
        <v>1759</v>
      </c>
      <c r="P356" s="22" t="s">
        <v>1759</v>
      </c>
      <c r="Q356" s="22" t="s">
        <v>2122</v>
      </c>
      <c r="R356" s="22" t="s">
        <v>42</v>
      </c>
      <c r="S356" s="88" t="s">
        <v>2123</v>
      </c>
      <c r="T356" s="22" t="s">
        <v>68</v>
      </c>
      <c r="U356" s="22" t="s">
        <v>2124</v>
      </c>
      <c r="V356" s="22" t="s">
        <v>2125</v>
      </c>
    </row>
    <row r="357" spans="2:22" ht="15" customHeight="1" x14ac:dyDescent="0.3">
      <c r="B357" s="22">
        <v>350</v>
      </c>
      <c r="C357" s="22" t="s">
        <v>1705</v>
      </c>
      <c r="D357" s="22" t="s">
        <v>2119</v>
      </c>
      <c r="E357" s="22" t="s">
        <v>2126</v>
      </c>
      <c r="F357" s="22" t="s">
        <v>95</v>
      </c>
      <c r="G357" s="22" t="s">
        <v>1956</v>
      </c>
      <c r="H357" s="22" t="s">
        <v>2127</v>
      </c>
      <c r="I357" s="22" t="s">
        <v>51</v>
      </c>
      <c r="J357" s="22">
        <v>2007</v>
      </c>
      <c r="K357" s="80" t="s">
        <v>68</v>
      </c>
      <c r="L357" s="80">
        <v>998</v>
      </c>
      <c r="M357" s="80" t="s">
        <v>68</v>
      </c>
      <c r="N357" s="80">
        <f t="shared" si="7"/>
        <v>998</v>
      </c>
      <c r="O357" s="22" t="s">
        <v>1759</v>
      </c>
      <c r="P357" s="22" t="s">
        <v>1759</v>
      </c>
      <c r="Q357" s="22" t="s">
        <v>2122</v>
      </c>
      <c r="R357" s="22" t="s">
        <v>42</v>
      </c>
      <c r="S357" s="88" t="s">
        <v>2123</v>
      </c>
      <c r="T357" s="22" t="s">
        <v>68</v>
      </c>
      <c r="U357" s="22" t="s">
        <v>2128</v>
      </c>
      <c r="V357" s="22" t="s">
        <v>2129</v>
      </c>
    </row>
    <row r="358" spans="2:22" ht="15" customHeight="1" x14ac:dyDescent="0.3">
      <c r="B358" s="22">
        <v>351</v>
      </c>
      <c r="C358" s="22" t="s">
        <v>1705</v>
      </c>
      <c r="D358" s="22" t="s">
        <v>2119</v>
      </c>
      <c r="E358" s="22" t="s">
        <v>2130</v>
      </c>
      <c r="F358" s="22" t="s">
        <v>390</v>
      </c>
      <c r="G358" s="22" t="s">
        <v>2131</v>
      </c>
      <c r="H358" s="22" t="s">
        <v>2132</v>
      </c>
      <c r="I358" s="22" t="s">
        <v>51</v>
      </c>
      <c r="J358" s="22">
        <v>2013</v>
      </c>
      <c r="K358" s="80" t="s">
        <v>68</v>
      </c>
      <c r="L358" s="80">
        <v>200</v>
      </c>
      <c r="M358" s="80" t="s">
        <v>68</v>
      </c>
      <c r="N358" s="80">
        <f t="shared" si="7"/>
        <v>200</v>
      </c>
      <c r="O358" s="22" t="s">
        <v>1759</v>
      </c>
      <c r="P358" s="22" t="s">
        <v>1759</v>
      </c>
      <c r="Q358" s="22" t="s">
        <v>2122</v>
      </c>
      <c r="R358" s="22" t="s">
        <v>42</v>
      </c>
      <c r="S358" s="88" t="s">
        <v>68</v>
      </c>
      <c r="T358" s="22" t="s">
        <v>68</v>
      </c>
      <c r="U358" s="22" t="s">
        <v>2133</v>
      </c>
      <c r="V358" s="22" t="s">
        <v>2134</v>
      </c>
    </row>
    <row r="359" spans="2:22" ht="15" customHeight="1" x14ac:dyDescent="0.3">
      <c r="B359" s="22">
        <v>352</v>
      </c>
      <c r="C359" s="22" t="s">
        <v>1705</v>
      </c>
      <c r="D359" s="22" t="s">
        <v>2119</v>
      </c>
      <c r="E359" s="22" t="s">
        <v>2135</v>
      </c>
      <c r="F359" s="22" t="s">
        <v>55</v>
      </c>
      <c r="G359" s="22" t="s">
        <v>1905</v>
      </c>
      <c r="H359" s="22" t="s">
        <v>2136</v>
      </c>
      <c r="I359" s="22" t="s">
        <v>51</v>
      </c>
      <c r="J359" s="22">
        <v>2022</v>
      </c>
      <c r="K359" s="80" t="s">
        <v>68</v>
      </c>
      <c r="L359" s="80">
        <v>50</v>
      </c>
      <c r="M359" s="80" t="s">
        <v>68</v>
      </c>
      <c r="N359" s="80">
        <f t="shared" si="7"/>
        <v>50</v>
      </c>
      <c r="O359" s="22" t="s">
        <v>1759</v>
      </c>
      <c r="P359" s="22" t="s">
        <v>1759</v>
      </c>
      <c r="Q359" s="22" t="s">
        <v>2122</v>
      </c>
      <c r="R359" s="22" t="s">
        <v>42</v>
      </c>
      <c r="S359" s="88" t="s">
        <v>2123</v>
      </c>
      <c r="T359" s="22" t="s">
        <v>68</v>
      </c>
      <c r="U359" s="22" t="s">
        <v>2137</v>
      </c>
      <c r="V359" s="22" t="s">
        <v>2138</v>
      </c>
    </row>
    <row r="360" spans="2:22" ht="15" customHeight="1" x14ac:dyDescent="0.3">
      <c r="B360" s="22">
        <v>353</v>
      </c>
      <c r="C360" s="22" t="s">
        <v>1705</v>
      </c>
      <c r="D360" s="22" t="s">
        <v>2119</v>
      </c>
      <c r="E360" s="22" t="s">
        <v>2139</v>
      </c>
      <c r="F360" s="22" t="s">
        <v>55</v>
      </c>
      <c r="G360" s="22" t="s">
        <v>1905</v>
      </c>
      <c r="H360" s="22" t="s">
        <v>2136</v>
      </c>
      <c r="I360" s="22" t="s">
        <v>51</v>
      </c>
      <c r="J360" s="22">
        <v>2019</v>
      </c>
      <c r="K360" s="80" t="s">
        <v>68</v>
      </c>
      <c r="L360" s="80">
        <v>200</v>
      </c>
      <c r="M360" s="80" t="s">
        <v>68</v>
      </c>
      <c r="N360" s="80">
        <f t="shared" si="7"/>
        <v>200</v>
      </c>
      <c r="O360" s="22" t="s">
        <v>1759</v>
      </c>
      <c r="P360" s="22" t="s">
        <v>1759</v>
      </c>
      <c r="Q360" s="22" t="s">
        <v>2122</v>
      </c>
      <c r="R360" s="22" t="s">
        <v>42</v>
      </c>
      <c r="S360" s="88" t="s">
        <v>2123</v>
      </c>
      <c r="T360" s="22" t="s">
        <v>68</v>
      </c>
      <c r="U360" s="22" t="s">
        <v>2140</v>
      </c>
      <c r="V360" s="22" t="s">
        <v>2141</v>
      </c>
    </row>
    <row r="361" spans="2:22" ht="15" customHeight="1" x14ac:dyDescent="0.3">
      <c r="B361" s="22">
        <v>354</v>
      </c>
      <c r="C361" s="22" t="s">
        <v>1705</v>
      </c>
      <c r="D361" s="8" t="s">
        <v>2142</v>
      </c>
      <c r="E361" s="8" t="s">
        <v>2143</v>
      </c>
      <c r="F361" s="8" t="s">
        <v>390</v>
      </c>
      <c r="G361" s="8" t="s">
        <v>2144</v>
      </c>
      <c r="H361" s="8" t="s">
        <v>2145</v>
      </c>
      <c r="I361" s="8" t="s">
        <v>51</v>
      </c>
      <c r="J361" s="8">
        <v>2003</v>
      </c>
      <c r="K361" s="80" t="s">
        <v>68</v>
      </c>
      <c r="L361" s="82">
        <v>660</v>
      </c>
      <c r="M361" s="80" t="s">
        <v>68</v>
      </c>
      <c r="N361" s="80">
        <f t="shared" si="7"/>
        <v>660</v>
      </c>
      <c r="O361" s="22" t="s">
        <v>1759</v>
      </c>
      <c r="P361" s="22" t="s">
        <v>1759</v>
      </c>
      <c r="Q361" s="25" t="s">
        <v>457</v>
      </c>
      <c r="R361" s="25" t="s">
        <v>2146</v>
      </c>
      <c r="S361" s="130" t="s">
        <v>68</v>
      </c>
      <c r="T361" s="22" t="s">
        <v>68</v>
      </c>
      <c r="U361" s="8" t="s">
        <v>2147</v>
      </c>
      <c r="V361" s="8" t="s">
        <v>2148</v>
      </c>
    </row>
    <row r="362" spans="2:22" ht="15" customHeight="1" x14ac:dyDescent="0.3">
      <c r="B362" s="22">
        <v>355</v>
      </c>
      <c r="C362" s="22" t="s">
        <v>1705</v>
      </c>
      <c r="D362" s="22" t="s">
        <v>2142</v>
      </c>
      <c r="E362" s="22" t="s">
        <v>2149</v>
      </c>
      <c r="F362" s="22" t="s">
        <v>95</v>
      </c>
      <c r="G362" s="22" t="s">
        <v>2144</v>
      </c>
      <c r="H362" s="22" t="s">
        <v>2150</v>
      </c>
      <c r="I362" s="22" t="s">
        <v>51</v>
      </c>
      <c r="J362" s="22">
        <v>2003</v>
      </c>
      <c r="K362" s="80" t="s">
        <v>68</v>
      </c>
      <c r="L362" s="80">
        <v>404</v>
      </c>
      <c r="M362" s="80" t="s">
        <v>68</v>
      </c>
      <c r="N362" s="80">
        <f t="shared" si="7"/>
        <v>404</v>
      </c>
      <c r="O362" s="22" t="s">
        <v>1759</v>
      </c>
      <c r="P362" s="22" t="s">
        <v>1759</v>
      </c>
      <c r="Q362" s="22" t="s">
        <v>2151</v>
      </c>
      <c r="R362" s="22" t="s">
        <v>42</v>
      </c>
      <c r="S362" s="88" t="s">
        <v>2152</v>
      </c>
      <c r="T362" s="22" t="s">
        <v>68</v>
      </c>
      <c r="U362" s="22" t="s">
        <v>2153</v>
      </c>
      <c r="V362" s="22" t="s">
        <v>2154</v>
      </c>
    </row>
    <row r="363" spans="2:22" ht="15" customHeight="1" x14ac:dyDescent="0.3">
      <c r="B363" s="22">
        <v>356</v>
      </c>
      <c r="C363" s="22" t="s">
        <v>1705</v>
      </c>
      <c r="D363" s="22" t="s">
        <v>2155</v>
      </c>
      <c r="E363" s="22" t="s">
        <v>2156</v>
      </c>
      <c r="F363" s="22" t="s">
        <v>390</v>
      </c>
      <c r="G363" s="22" t="s">
        <v>2157</v>
      </c>
      <c r="H363" s="22" t="s">
        <v>2158</v>
      </c>
      <c r="I363" s="22" t="s">
        <v>67</v>
      </c>
      <c r="J363" s="22">
        <v>2004</v>
      </c>
      <c r="K363" s="80" t="s">
        <v>68</v>
      </c>
      <c r="L363" s="80">
        <v>500</v>
      </c>
      <c r="M363" s="80" t="s">
        <v>68</v>
      </c>
      <c r="N363" s="80">
        <f t="shared" si="7"/>
        <v>500</v>
      </c>
      <c r="O363" s="58" t="s">
        <v>2159</v>
      </c>
      <c r="P363" s="58" t="s">
        <v>932</v>
      </c>
      <c r="Q363" s="22" t="s">
        <v>2160</v>
      </c>
      <c r="R363" s="22" t="s">
        <v>42</v>
      </c>
      <c r="S363" s="88" t="s">
        <v>2161</v>
      </c>
      <c r="T363" s="22" t="s">
        <v>68</v>
      </c>
      <c r="U363" s="22" t="s">
        <v>2162</v>
      </c>
      <c r="V363" s="22" t="s">
        <v>2163</v>
      </c>
    </row>
    <row r="364" spans="2:22" ht="15" customHeight="1" x14ac:dyDescent="0.3">
      <c r="B364" s="22">
        <v>357</v>
      </c>
      <c r="C364" s="22" t="s">
        <v>1705</v>
      </c>
      <c r="D364" s="22" t="s">
        <v>2155</v>
      </c>
      <c r="E364" s="22" t="s">
        <v>2164</v>
      </c>
      <c r="F364" s="22" t="s">
        <v>50</v>
      </c>
      <c r="G364" s="22" t="s">
        <v>2165</v>
      </c>
      <c r="H364" s="22" t="s">
        <v>2166</v>
      </c>
      <c r="I364" s="22" t="s">
        <v>51</v>
      </c>
      <c r="J364" s="22">
        <v>1998</v>
      </c>
      <c r="K364" s="80" t="s">
        <v>68</v>
      </c>
      <c r="L364" s="80">
        <v>150</v>
      </c>
      <c r="M364" s="80" t="s">
        <v>68</v>
      </c>
      <c r="N364" s="80">
        <f t="shared" si="7"/>
        <v>150</v>
      </c>
      <c r="O364" s="58" t="s">
        <v>2167</v>
      </c>
      <c r="P364" s="58" t="s">
        <v>932</v>
      </c>
      <c r="Q364" s="22" t="s">
        <v>2160</v>
      </c>
      <c r="R364" s="22" t="s">
        <v>42</v>
      </c>
      <c r="S364" s="88" t="s">
        <v>2161</v>
      </c>
      <c r="T364" s="22" t="s">
        <v>68</v>
      </c>
      <c r="U364" s="22" t="s">
        <v>2162</v>
      </c>
      <c r="V364" s="22" t="s">
        <v>2163</v>
      </c>
    </row>
    <row r="365" spans="2:22" ht="15" customHeight="1" x14ac:dyDescent="0.3">
      <c r="B365" s="22">
        <v>358</v>
      </c>
      <c r="C365" s="22" t="s">
        <v>1705</v>
      </c>
      <c r="D365" s="22" t="s">
        <v>2155</v>
      </c>
      <c r="E365" s="22" t="s">
        <v>2168</v>
      </c>
      <c r="F365" s="22" t="s">
        <v>55</v>
      </c>
      <c r="G365" s="22" t="s">
        <v>2169</v>
      </c>
      <c r="H365" s="22" t="s">
        <v>2158</v>
      </c>
      <c r="I365" s="22" t="s">
        <v>67</v>
      </c>
      <c r="J365" s="22">
        <v>2008</v>
      </c>
      <c r="K365" s="80" t="s">
        <v>68</v>
      </c>
      <c r="L365" s="80">
        <v>500</v>
      </c>
      <c r="M365" s="80" t="s">
        <v>68</v>
      </c>
      <c r="N365" s="80">
        <f t="shared" si="7"/>
        <v>500</v>
      </c>
      <c r="O365" s="22" t="s">
        <v>1759</v>
      </c>
      <c r="P365" s="22" t="s">
        <v>1759</v>
      </c>
      <c r="Q365" s="22" t="s">
        <v>2160</v>
      </c>
      <c r="R365" s="22" t="s">
        <v>42</v>
      </c>
      <c r="S365" s="88" t="s">
        <v>2161</v>
      </c>
      <c r="T365" s="22" t="s">
        <v>68</v>
      </c>
      <c r="U365" s="22" t="s">
        <v>2162</v>
      </c>
      <c r="V365" s="22" t="s">
        <v>2163</v>
      </c>
    </row>
    <row r="366" spans="2:22" ht="15" customHeight="1" x14ac:dyDescent="0.3">
      <c r="B366" s="22">
        <v>359</v>
      </c>
      <c r="C366" s="22" t="s">
        <v>1705</v>
      </c>
      <c r="D366" s="22" t="s">
        <v>2155</v>
      </c>
      <c r="E366" s="22" t="s">
        <v>2170</v>
      </c>
      <c r="F366" s="22" t="s">
        <v>35</v>
      </c>
      <c r="G366" s="22" t="s">
        <v>2171</v>
      </c>
      <c r="H366" s="22" t="s">
        <v>2172</v>
      </c>
      <c r="I366" s="22" t="s">
        <v>51</v>
      </c>
      <c r="J366" s="22">
        <v>1985</v>
      </c>
      <c r="K366" s="80" t="s">
        <v>68</v>
      </c>
      <c r="L366" s="80">
        <v>295</v>
      </c>
      <c r="M366" s="80" t="s">
        <v>68</v>
      </c>
      <c r="N366" s="80">
        <f t="shared" si="7"/>
        <v>295</v>
      </c>
      <c r="O366" s="58" t="s">
        <v>932</v>
      </c>
      <c r="P366" s="58" t="s">
        <v>932</v>
      </c>
      <c r="Q366" s="22" t="s">
        <v>2160</v>
      </c>
      <c r="R366" s="22" t="s">
        <v>42</v>
      </c>
      <c r="S366" s="88" t="s">
        <v>2161</v>
      </c>
      <c r="T366" s="22" t="s">
        <v>68</v>
      </c>
      <c r="U366" s="22" t="s">
        <v>2162</v>
      </c>
      <c r="V366" s="22" t="s">
        <v>2163</v>
      </c>
    </row>
    <row r="367" spans="2:22" ht="15" customHeight="1" x14ac:dyDescent="0.3">
      <c r="B367" s="22">
        <v>360</v>
      </c>
      <c r="C367" s="22" t="s">
        <v>1705</v>
      </c>
      <c r="D367" s="22" t="s">
        <v>2155</v>
      </c>
      <c r="E367" s="22" t="s">
        <v>2173</v>
      </c>
      <c r="F367" s="22" t="s">
        <v>390</v>
      </c>
      <c r="G367" s="22" t="s">
        <v>2174</v>
      </c>
      <c r="H367" s="22" t="s">
        <v>2175</v>
      </c>
      <c r="I367" s="22" t="s">
        <v>51</v>
      </c>
      <c r="J367" s="22">
        <v>2006</v>
      </c>
      <c r="K367" s="80" t="s">
        <v>68</v>
      </c>
      <c r="L367" s="80">
        <v>150</v>
      </c>
      <c r="M367" s="80" t="s">
        <v>68</v>
      </c>
      <c r="N367" s="80">
        <f t="shared" si="7"/>
        <v>150</v>
      </c>
      <c r="O367" s="22" t="s">
        <v>1759</v>
      </c>
      <c r="P367" s="22" t="s">
        <v>1759</v>
      </c>
      <c r="Q367" s="22" t="s">
        <v>2160</v>
      </c>
      <c r="R367" s="22" t="s">
        <v>42</v>
      </c>
      <c r="S367" s="88" t="s">
        <v>2161</v>
      </c>
      <c r="T367" s="22" t="s">
        <v>68</v>
      </c>
      <c r="U367" s="22" t="s">
        <v>2162</v>
      </c>
      <c r="V367" s="22" t="s">
        <v>2163</v>
      </c>
    </row>
    <row r="368" spans="2:22" ht="15" customHeight="1" x14ac:dyDescent="0.3">
      <c r="B368" s="22">
        <v>361</v>
      </c>
      <c r="C368" s="22" t="s">
        <v>1705</v>
      </c>
      <c r="D368" s="22" t="s">
        <v>2176</v>
      </c>
      <c r="E368" s="22" t="s">
        <v>2177</v>
      </c>
      <c r="F368" s="22" t="s">
        <v>95</v>
      </c>
      <c r="G368" s="22" t="s">
        <v>1913</v>
      </c>
      <c r="H368" s="22" t="s">
        <v>2178</v>
      </c>
      <c r="I368" s="22" t="s">
        <v>51</v>
      </c>
      <c r="J368" s="22">
        <v>2019</v>
      </c>
      <c r="K368" s="80" t="s">
        <v>68</v>
      </c>
      <c r="L368" s="80">
        <v>700</v>
      </c>
      <c r="M368" s="80" t="s">
        <v>68</v>
      </c>
      <c r="N368" s="80">
        <f t="shared" si="7"/>
        <v>700</v>
      </c>
      <c r="O368" s="23" t="s">
        <v>2179</v>
      </c>
      <c r="P368" s="22" t="s">
        <v>932</v>
      </c>
      <c r="Q368" s="22" t="s">
        <v>2180</v>
      </c>
      <c r="R368" s="22" t="s">
        <v>42</v>
      </c>
      <c r="S368" s="88" t="s">
        <v>2181</v>
      </c>
      <c r="T368" s="22" t="s">
        <v>68</v>
      </c>
      <c r="U368" s="22" t="s">
        <v>2182</v>
      </c>
      <c r="V368" s="22" t="s">
        <v>2183</v>
      </c>
    </row>
    <row r="369" spans="2:22" ht="15" customHeight="1" x14ac:dyDescent="0.3">
      <c r="B369" s="22">
        <v>362</v>
      </c>
      <c r="C369" s="22" t="s">
        <v>1705</v>
      </c>
      <c r="D369" s="22" t="s">
        <v>2176</v>
      </c>
      <c r="E369" s="22" t="s">
        <v>2184</v>
      </c>
      <c r="F369" s="22" t="s">
        <v>992</v>
      </c>
      <c r="G369" s="22" t="s">
        <v>2157</v>
      </c>
      <c r="H369" s="22" t="s">
        <v>2185</v>
      </c>
      <c r="I369" s="22" t="s">
        <v>51</v>
      </c>
      <c r="J369" s="22">
        <v>1999</v>
      </c>
      <c r="K369" s="80" t="s">
        <v>68</v>
      </c>
      <c r="L369" s="80">
        <v>120</v>
      </c>
      <c r="M369" s="80">
        <v>20</v>
      </c>
      <c r="N369" s="80">
        <f t="shared" si="7"/>
        <v>140</v>
      </c>
      <c r="O369" s="22" t="s">
        <v>1759</v>
      </c>
      <c r="P369" s="22" t="s">
        <v>1759</v>
      </c>
      <c r="Q369" s="22" t="s">
        <v>2186</v>
      </c>
      <c r="R369" s="22" t="s">
        <v>2187</v>
      </c>
      <c r="S369" s="88" t="s">
        <v>68</v>
      </c>
      <c r="T369" s="22" t="s">
        <v>68</v>
      </c>
      <c r="U369" s="22" t="s">
        <v>2182</v>
      </c>
      <c r="V369" s="22" t="s">
        <v>2183</v>
      </c>
    </row>
    <row r="370" spans="2:22" ht="15" customHeight="1" x14ac:dyDescent="0.3">
      <c r="B370" s="22">
        <v>363</v>
      </c>
      <c r="C370" s="22" t="s">
        <v>1705</v>
      </c>
      <c r="D370" s="22" t="s">
        <v>2176</v>
      </c>
      <c r="E370" s="22" t="s">
        <v>2188</v>
      </c>
      <c r="F370" s="22" t="s">
        <v>2189</v>
      </c>
      <c r="G370" s="22" t="s">
        <v>1913</v>
      </c>
      <c r="H370" s="22" t="s">
        <v>2190</v>
      </c>
      <c r="I370" s="22" t="s">
        <v>51</v>
      </c>
      <c r="J370" s="22">
        <v>1983</v>
      </c>
      <c r="K370" s="80" t="s">
        <v>68</v>
      </c>
      <c r="L370" s="80">
        <v>290</v>
      </c>
      <c r="M370" s="80" t="s">
        <v>68</v>
      </c>
      <c r="N370" s="80">
        <f t="shared" si="7"/>
        <v>290</v>
      </c>
      <c r="O370" s="22" t="s">
        <v>932</v>
      </c>
      <c r="P370" s="22" t="s">
        <v>932</v>
      </c>
      <c r="Q370" s="22" t="s">
        <v>2191</v>
      </c>
      <c r="R370" s="22" t="s">
        <v>457</v>
      </c>
      <c r="S370" s="88" t="s">
        <v>68</v>
      </c>
      <c r="T370" s="22" t="s">
        <v>68</v>
      </c>
      <c r="U370" s="22" t="s">
        <v>2192</v>
      </c>
      <c r="V370" s="22" t="s">
        <v>2193</v>
      </c>
    </row>
    <row r="371" spans="2:22" ht="15" customHeight="1" x14ac:dyDescent="0.3">
      <c r="B371" s="22">
        <v>364</v>
      </c>
      <c r="C371" s="22" t="s">
        <v>1705</v>
      </c>
      <c r="D371" s="77" t="s">
        <v>2194</v>
      </c>
      <c r="E371" s="107" t="s">
        <v>2195</v>
      </c>
      <c r="F371" s="77" t="s">
        <v>992</v>
      </c>
      <c r="G371" s="77" t="s">
        <v>2015</v>
      </c>
      <c r="H371" s="77" t="s">
        <v>2196</v>
      </c>
      <c r="I371" s="77" t="s">
        <v>422</v>
      </c>
      <c r="J371" s="77">
        <v>2016</v>
      </c>
      <c r="K371" s="108" t="s">
        <v>68</v>
      </c>
      <c r="L371" s="108">
        <v>100</v>
      </c>
      <c r="M371" s="108" t="s">
        <v>68</v>
      </c>
      <c r="N371" s="80">
        <f t="shared" si="7"/>
        <v>100</v>
      </c>
      <c r="O371" s="109" t="s">
        <v>1759</v>
      </c>
      <c r="P371" s="109" t="s">
        <v>1759</v>
      </c>
      <c r="Q371" s="47" t="s">
        <v>2197</v>
      </c>
      <c r="R371" s="77" t="s">
        <v>853</v>
      </c>
      <c r="S371" s="137" t="s">
        <v>2198</v>
      </c>
      <c r="T371" s="77" t="s">
        <v>68</v>
      </c>
      <c r="U371" s="77" t="s">
        <v>2199</v>
      </c>
      <c r="V371" s="77" t="s">
        <v>2200</v>
      </c>
    </row>
    <row r="372" spans="2:22" ht="15" customHeight="1" x14ac:dyDescent="0.3">
      <c r="B372" s="22">
        <v>365</v>
      </c>
      <c r="C372" s="22" t="s">
        <v>1705</v>
      </c>
      <c r="D372" s="77" t="s">
        <v>2194</v>
      </c>
      <c r="E372" s="107" t="s">
        <v>2201</v>
      </c>
      <c r="F372" s="77" t="s">
        <v>86</v>
      </c>
      <c r="G372" s="110" t="s">
        <v>2202</v>
      </c>
      <c r="H372" s="77" t="s">
        <v>2203</v>
      </c>
      <c r="I372" s="77" t="s">
        <v>422</v>
      </c>
      <c r="J372" s="77">
        <v>2017</v>
      </c>
      <c r="K372" s="108" t="s">
        <v>68</v>
      </c>
      <c r="L372" s="108">
        <v>50</v>
      </c>
      <c r="M372" s="108" t="s">
        <v>68</v>
      </c>
      <c r="N372" s="80">
        <f t="shared" si="7"/>
        <v>50</v>
      </c>
      <c r="O372" s="109" t="s">
        <v>1759</v>
      </c>
      <c r="P372" s="109" t="s">
        <v>1759</v>
      </c>
      <c r="Q372" s="75" t="s">
        <v>2204</v>
      </c>
      <c r="R372" s="77" t="s">
        <v>68</v>
      </c>
      <c r="S372" s="138" t="s">
        <v>2205</v>
      </c>
      <c r="T372" s="77" t="s">
        <v>68</v>
      </c>
      <c r="U372" s="77" t="s">
        <v>2206</v>
      </c>
      <c r="V372" s="77" t="s">
        <v>2207</v>
      </c>
    </row>
    <row r="373" spans="2:22" ht="15" customHeight="1" x14ac:dyDescent="0.3">
      <c r="B373" s="22">
        <v>366</v>
      </c>
      <c r="C373" s="22" t="s">
        <v>1705</v>
      </c>
      <c r="D373" s="77" t="s">
        <v>2194</v>
      </c>
      <c r="E373" s="107" t="s">
        <v>2208</v>
      </c>
      <c r="F373" s="77" t="s">
        <v>86</v>
      </c>
      <c r="G373" s="110" t="s">
        <v>1956</v>
      </c>
      <c r="H373" s="77" t="s">
        <v>2209</v>
      </c>
      <c r="I373" s="77" t="s">
        <v>422</v>
      </c>
      <c r="J373" s="77">
        <v>2017</v>
      </c>
      <c r="K373" s="108" t="s">
        <v>68</v>
      </c>
      <c r="L373" s="108">
        <v>20</v>
      </c>
      <c r="M373" s="108" t="s">
        <v>68</v>
      </c>
      <c r="N373" s="80">
        <f t="shared" si="7"/>
        <v>20</v>
      </c>
      <c r="O373" s="109" t="s">
        <v>1759</v>
      </c>
      <c r="P373" s="109" t="s">
        <v>1759</v>
      </c>
      <c r="Q373" s="75" t="s">
        <v>2210</v>
      </c>
      <c r="R373" s="77" t="s">
        <v>68</v>
      </c>
      <c r="S373" s="138" t="s">
        <v>2205</v>
      </c>
      <c r="T373" s="77" t="s">
        <v>68</v>
      </c>
      <c r="U373" s="77" t="s">
        <v>2211</v>
      </c>
      <c r="V373" s="77" t="s">
        <v>2212</v>
      </c>
    </row>
    <row r="374" spans="2:22" ht="15" customHeight="1" x14ac:dyDescent="0.3">
      <c r="B374" s="22">
        <v>367</v>
      </c>
      <c r="C374" s="22" t="s">
        <v>1705</v>
      </c>
      <c r="D374" s="77" t="s">
        <v>2194</v>
      </c>
      <c r="E374" s="107" t="s">
        <v>2213</v>
      </c>
      <c r="F374" s="77" t="s">
        <v>50</v>
      </c>
      <c r="G374" s="110" t="s">
        <v>1905</v>
      </c>
      <c r="H374" s="77" t="s">
        <v>2214</v>
      </c>
      <c r="I374" s="77" t="s">
        <v>51</v>
      </c>
      <c r="J374" s="77">
        <v>1983</v>
      </c>
      <c r="K374" s="108" t="s">
        <v>68</v>
      </c>
      <c r="L374" s="108">
        <v>300</v>
      </c>
      <c r="M374" s="108" t="s">
        <v>68</v>
      </c>
      <c r="N374" s="80">
        <f t="shared" si="7"/>
        <v>300</v>
      </c>
      <c r="O374" s="7" t="s">
        <v>1907</v>
      </c>
      <c r="P374" s="7" t="s">
        <v>932</v>
      </c>
      <c r="Q374" s="47" t="s">
        <v>2215</v>
      </c>
      <c r="R374" s="77" t="s">
        <v>853</v>
      </c>
      <c r="S374" s="139" t="s">
        <v>2216</v>
      </c>
      <c r="T374" s="77" t="s">
        <v>68</v>
      </c>
      <c r="U374" s="77" t="s">
        <v>2217</v>
      </c>
      <c r="V374" s="77" t="s">
        <v>2218</v>
      </c>
    </row>
    <row r="375" spans="2:22" ht="15" customHeight="1" x14ac:dyDescent="0.3">
      <c r="B375" s="22">
        <v>368</v>
      </c>
      <c r="C375" s="22" t="s">
        <v>1705</v>
      </c>
      <c r="D375" s="77" t="s">
        <v>2194</v>
      </c>
      <c r="E375" s="107" t="s">
        <v>2219</v>
      </c>
      <c r="F375" s="77" t="s">
        <v>992</v>
      </c>
      <c r="G375" s="77" t="s">
        <v>1913</v>
      </c>
      <c r="H375" s="77" t="s">
        <v>2220</v>
      </c>
      <c r="I375" s="77" t="s">
        <v>422</v>
      </c>
      <c r="J375" s="77">
        <v>1999</v>
      </c>
      <c r="K375" s="108" t="s">
        <v>68</v>
      </c>
      <c r="L375" s="108">
        <v>500</v>
      </c>
      <c r="M375" s="108" t="s">
        <v>68</v>
      </c>
      <c r="N375" s="80">
        <f t="shared" si="7"/>
        <v>500</v>
      </c>
      <c r="O375" s="109" t="s">
        <v>1759</v>
      </c>
      <c r="P375" s="109" t="s">
        <v>1759</v>
      </c>
      <c r="Q375" s="47" t="s">
        <v>2221</v>
      </c>
      <c r="R375" s="77" t="s">
        <v>853</v>
      </c>
      <c r="S375" s="139" t="s">
        <v>2222</v>
      </c>
      <c r="T375" s="77" t="s">
        <v>68</v>
      </c>
      <c r="U375" s="77" t="s">
        <v>2206</v>
      </c>
      <c r="V375" s="77" t="s">
        <v>2207</v>
      </c>
    </row>
    <row r="376" spans="2:22" ht="15" customHeight="1" x14ac:dyDescent="0.3">
      <c r="B376" s="22">
        <v>369</v>
      </c>
      <c r="C376" s="22" t="s">
        <v>1705</v>
      </c>
      <c r="D376" s="77" t="s">
        <v>2194</v>
      </c>
      <c r="E376" s="107" t="s">
        <v>2223</v>
      </c>
      <c r="F376" s="77" t="s">
        <v>1921</v>
      </c>
      <c r="G376" s="77" t="s">
        <v>1913</v>
      </c>
      <c r="H376" s="77" t="s">
        <v>2224</v>
      </c>
      <c r="I376" s="77" t="s">
        <v>422</v>
      </c>
      <c r="J376" s="77">
        <v>2007</v>
      </c>
      <c r="K376" s="108" t="s">
        <v>68</v>
      </c>
      <c r="L376" s="108">
        <v>700</v>
      </c>
      <c r="M376" s="108" t="s">
        <v>68</v>
      </c>
      <c r="N376" s="80">
        <f t="shared" si="7"/>
        <v>700</v>
      </c>
      <c r="O376" s="109" t="s">
        <v>1759</v>
      </c>
      <c r="P376" s="109" t="s">
        <v>1759</v>
      </c>
      <c r="Q376" s="47" t="s">
        <v>2225</v>
      </c>
      <c r="R376" s="77" t="s">
        <v>853</v>
      </c>
      <c r="S376" s="137" t="s">
        <v>2198</v>
      </c>
      <c r="T376" s="77" t="s">
        <v>68</v>
      </c>
      <c r="U376" s="77" t="s">
        <v>2226</v>
      </c>
      <c r="V376" s="77" t="s">
        <v>2227</v>
      </c>
    </row>
    <row r="377" spans="2:22" ht="15" customHeight="1" x14ac:dyDescent="0.3">
      <c r="B377" s="22">
        <v>370</v>
      </c>
      <c r="C377" s="22" t="s">
        <v>1705</v>
      </c>
      <c r="D377" s="22" t="s">
        <v>2228</v>
      </c>
      <c r="E377" s="22" t="s">
        <v>2229</v>
      </c>
      <c r="F377" s="22" t="s">
        <v>50</v>
      </c>
      <c r="G377" s="22" t="s">
        <v>1922</v>
      </c>
      <c r="H377" s="22" t="s">
        <v>2230</v>
      </c>
      <c r="I377" s="22" t="s">
        <v>51</v>
      </c>
      <c r="J377" s="22">
        <v>1979</v>
      </c>
      <c r="K377" s="108" t="s">
        <v>68</v>
      </c>
      <c r="L377" s="80">
        <v>557</v>
      </c>
      <c r="M377" s="80"/>
      <c r="N377" s="80">
        <f t="shared" si="7"/>
        <v>557</v>
      </c>
      <c r="O377" s="22" t="s">
        <v>1772</v>
      </c>
      <c r="P377" s="22" t="s">
        <v>932</v>
      </c>
      <c r="Q377" s="22" t="s">
        <v>2231</v>
      </c>
      <c r="R377" s="22" t="s">
        <v>395</v>
      </c>
      <c r="S377" s="88" t="s">
        <v>2232</v>
      </c>
      <c r="T377" s="22" t="s">
        <v>68</v>
      </c>
      <c r="U377" s="22" t="s">
        <v>2233</v>
      </c>
      <c r="V377" s="22" t="s">
        <v>2234</v>
      </c>
    </row>
    <row r="378" spans="2:22" ht="15" customHeight="1" x14ac:dyDescent="0.3">
      <c r="B378" s="22">
        <v>371</v>
      </c>
      <c r="C378" s="22" t="s">
        <v>1705</v>
      </c>
      <c r="D378" s="22" t="s">
        <v>2228</v>
      </c>
      <c r="E378" s="22" t="s">
        <v>2235</v>
      </c>
      <c r="F378" s="22" t="s">
        <v>390</v>
      </c>
      <c r="G378" s="22" t="s">
        <v>1892</v>
      </c>
      <c r="H378" s="22" t="s">
        <v>2236</v>
      </c>
      <c r="I378" s="22" t="s">
        <v>51</v>
      </c>
      <c r="J378" s="22">
        <v>1997</v>
      </c>
      <c r="K378" s="108" t="s">
        <v>68</v>
      </c>
      <c r="L378" s="60">
        <v>550</v>
      </c>
      <c r="M378" s="60">
        <v>0</v>
      </c>
      <c r="N378" s="80">
        <f t="shared" si="7"/>
        <v>550</v>
      </c>
      <c r="O378" s="76" t="s">
        <v>932</v>
      </c>
      <c r="P378" s="76" t="s">
        <v>932</v>
      </c>
      <c r="Q378" s="22" t="s">
        <v>2237</v>
      </c>
      <c r="R378" s="22" t="s">
        <v>42</v>
      </c>
      <c r="S378" s="88" t="s">
        <v>2238</v>
      </c>
      <c r="T378" s="22" t="s">
        <v>68</v>
      </c>
      <c r="U378" s="22" t="s">
        <v>2239</v>
      </c>
      <c r="V378" s="22" t="s">
        <v>2240</v>
      </c>
    </row>
    <row r="379" spans="2:22" ht="15" customHeight="1" x14ac:dyDescent="0.3">
      <c r="B379" s="22">
        <v>372</v>
      </c>
      <c r="C379" s="22" t="s">
        <v>1705</v>
      </c>
      <c r="D379" s="22" t="s">
        <v>2228</v>
      </c>
      <c r="E379" s="22" t="s">
        <v>2241</v>
      </c>
      <c r="F379" s="22" t="s">
        <v>95</v>
      </c>
      <c r="G379" s="22" t="s">
        <v>1818</v>
      </c>
      <c r="H379" s="22" t="s">
        <v>2236</v>
      </c>
      <c r="I379" s="22" t="s">
        <v>51</v>
      </c>
      <c r="J379" s="22">
        <v>1997</v>
      </c>
      <c r="K379" s="108" t="s">
        <v>68</v>
      </c>
      <c r="L379" s="60">
        <v>550</v>
      </c>
      <c r="M379" s="60">
        <v>0</v>
      </c>
      <c r="N379" s="80">
        <f t="shared" si="7"/>
        <v>550</v>
      </c>
      <c r="O379" s="76" t="s">
        <v>932</v>
      </c>
      <c r="P379" s="76" t="s">
        <v>932</v>
      </c>
      <c r="Q379" s="22" t="s">
        <v>2237</v>
      </c>
      <c r="R379" s="22" t="s">
        <v>42</v>
      </c>
      <c r="S379" s="88" t="s">
        <v>2238</v>
      </c>
      <c r="T379" s="22" t="s">
        <v>68</v>
      </c>
      <c r="U379" s="22" t="s">
        <v>2242</v>
      </c>
      <c r="V379" s="22" t="s">
        <v>2243</v>
      </c>
    </row>
    <row r="380" spans="2:22" ht="15" customHeight="1" x14ac:dyDescent="0.3">
      <c r="B380" s="22">
        <v>373</v>
      </c>
      <c r="C380" s="22" t="s">
        <v>1705</v>
      </c>
      <c r="D380" s="22" t="s">
        <v>2228</v>
      </c>
      <c r="E380" s="22" t="s">
        <v>2244</v>
      </c>
      <c r="F380" s="22" t="s">
        <v>95</v>
      </c>
      <c r="G380" s="22" t="s">
        <v>2245</v>
      </c>
      <c r="H380" s="22" t="s">
        <v>2246</v>
      </c>
      <c r="I380" s="22" t="s">
        <v>51</v>
      </c>
      <c r="J380" s="22">
        <v>1996</v>
      </c>
      <c r="K380" s="108" t="s">
        <v>68</v>
      </c>
      <c r="L380" s="60">
        <v>70</v>
      </c>
      <c r="M380" s="60">
        <v>0</v>
      </c>
      <c r="N380" s="80">
        <f t="shared" si="7"/>
        <v>70</v>
      </c>
      <c r="O380" s="76" t="s">
        <v>932</v>
      </c>
      <c r="P380" s="76" t="s">
        <v>932</v>
      </c>
      <c r="Q380" s="22" t="s">
        <v>2237</v>
      </c>
      <c r="R380" s="22" t="s">
        <v>42</v>
      </c>
      <c r="S380" s="88" t="s">
        <v>2238</v>
      </c>
      <c r="T380" s="22" t="s">
        <v>68</v>
      </c>
      <c r="U380" s="22" t="s">
        <v>2239</v>
      </c>
      <c r="V380" s="22" t="s">
        <v>2240</v>
      </c>
    </row>
    <row r="381" spans="2:22" ht="15" customHeight="1" x14ac:dyDescent="0.3">
      <c r="B381" s="22">
        <v>374</v>
      </c>
      <c r="C381" s="8" t="s">
        <v>15</v>
      </c>
      <c r="D381" s="8" t="s">
        <v>2247</v>
      </c>
      <c r="E381" s="8" t="s">
        <v>2248</v>
      </c>
      <c r="F381" s="8" t="s">
        <v>390</v>
      </c>
      <c r="G381" s="25" t="s">
        <v>2249</v>
      </c>
      <c r="H381" s="8" t="s">
        <v>2250</v>
      </c>
      <c r="I381" s="8" t="s">
        <v>51</v>
      </c>
      <c r="J381" s="42">
        <v>2013</v>
      </c>
      <c r="K381" s="8"/>
      <c r="L381" s="28">
        <v>150</v>
      </c>
      <c r="M381" s="28"/>
      <c r="N381" s="28">
        <f>SUM(K381:M381)</f>
        <v>150</v>
      </c>
      <c r="O381" s="43"/>
      <c r="P381" s="43"/>
      <c r="Q381" s="8" t="s">
        <v>2251</v>
      </c>
      <c r="R381" s="8" t="s">
        <v>357</v>
      </c>
      <c r="S381" s="84" t="s">
        <v>2252</v>
      </c>
      <c r="T381" s="8"/>
      <c r="U381" s="8" t="s">
        <v>2253</v>
      </c>
      <c r="V381" s="8" t="s">
        <v>2254</v>
      </c>
    </row>
    <row r="382" spans="2:22" ht="15" customHeight="1" x14ac:dyDescent="0.3">
      <c r="B382" s="22">
        <v>375</v>
      </c>
      <c r="C382" s="8" t="s">
        <v>15</v>
      </c>
      <c r="D382" s="8" t="s">
        <v>2247</v>
      </c>
      <c r="E382" s="8" t="s">
        <v>2255</v>
      </c>
      <c r="F382" s="8" t="s">
        <v>390</v>
      </c>
      <c r="G382" s="25" t="s">
        <v>2256</v>
      </c>
      <c r="H382" s="8" t="s">
        <v>2257</v>
      </c>
      <c r="I382" s="8" t="s">
        <v>51</v>
      </c>
      <c r="J382" s="42">
        <v>2011</v>
      </c>
      <c r="K382" s="8"/>
      <c r="L382" s="28">
        <v>20</v>
      </c>
      <c r="M382" s="28">
        <v>20</v>
      </c>
      <c r="N382" s="28">
        <f t="shared" ref="N382:N417" si="8">SUM(K382:M382)</f>
        <v>40</v>
      </c>
      <c r="O382" s="43"/>
      <c r="P382" s="43"/>
      <c r="Q382" s="8" t="s">
        <v>2258</v>
      </c>
      <c r="R382" s="8" t="s">
        <v>395</v>
      </c>
      <c r="S382" s="84" t="s">
        <v>2252</v>
      </c>
      <c r="T382" s="8"/>
      <c r="U382" s="8" t="s">
        <v>2259</v>
      </c>
      <c r="V382" s="8" t="s">
        <v>2260</v>
      </c>
    </row>
    <row r="383" spans="2:22" ht="15" customHeight="1" x14ac:dyDescent="0.3">
      <c r="B383" s="22">
        <v>376</v>
      </c>
      <c r="C383" s="8" t="s">
        <v>15</v>
      </c>
      <c r="D383" s="8" t="s">
        <v>2247</v>
      </c>
      <c r="E383" s="8" t="s">
        <v>2261</v>
      </c>
      <c r="F383" s="8" t="s">
        <v>55</v>
      </c>
      <c r="G383" s="25" t="s">
        <v>2262</v>
      </c>
      <c r="H383" s="8" t="s">
        <v>2263</v>
      </c>
      <c r="I383" s="8" t="s">
        <v>67</v>
      </c>
      <c r="J383" s="42">
        <v>1963</v>
      </c>
      <c r="K383" s="8"/>
      <c r="L383" s="28">
        <v>1332</v>
      </c>
      <c r="M383" s="28"/>
      <c r="N383" s="28">
        <f t="shared" si="8"/>
        <v>1332</v>
      </c>
      <c r="O383" s="44"/>
      <c r="P383" s="44"/>
      <c r="Q383" s="8" t="s">
        <v>2264</v>
      </c>
      <c r="R383" s="8"/>
      <c r="S383" s="84"/>
      <c r="T383" s="8"/>
      <c r="U383" s="8" t="s">
        <v>2265</v>
      </c>
      <c r="V383" s="8" t="s">
        <v>2266</v>
      </c>
    </row>
    <row r="384" spans="2:22" ht="15" customHeight="1" x14ac:dyDescent="0.3">
      <c r="B384" s="22">
        <v>377</v>
      </c>
      <c r="C384" s="8" t="s">
        <v>15</v>
      </c>
      <c r="D384" s="8" t="s">
        <v>2247</v>
      </c>
      <c r="E384" s="8" t="s">
        <v>2267</v>
      </c>
      <c r="F384" s="8" t="s">
        <v>55</v>
      </c>
      <c r="G384" s="25" t="s">
        <v>2268</v>
      </c>
      <c r="H384" s="8" t="s">
        <v>2269</v>
      </c>
      <c r="I384" s="8" t="s">
        <v>67</v>
      </c>
      <c r="J384" s="42">
        <v>2000</v>
      </c>
      <c r="K384" s="8"/>
      <c r="L384" s="28">
        <v>1033</v>
      </c>
      <c r="M384" s="28"/>
      <c r="N384" s="28">
        <f t="shared" si="8"/>
        <v>1033</v>
      </c>
      <c r="O384" s="44"/>
      <c r="P384" s="44"/>
      <c r="Q384" s="8" t="s">
        <v>2264</v>
      </c>
      <c r="R384" s="8"/>
      <c r="S384" s="84"/>
      <c r="T384" s="8"/>
      <c r="U384" s="25" t="s">
        <v>2270</v>
      </c>
      <c r="V384" s="25" t="s">
        <v>2271</v>
      </c>
    </row>
    <row r="385" spans="2:22" ht="15" customHeight="1" x14ac:dyDescent="0.3">
      <c r="B385" s="22">
        <v>378</v>
      </c>
      <c r="C385" s="8" t="s">
        <v>15</v>
      </c>
      <c r="D385" s="8" t="s">
        <v>2247</v>
      </c>
      <c r="E385" s="8" t="s">
        <v>2272</v>
      </c>
      <c r="F385" s="8" t="s">
        <v>390</v>
      </c>
      <c r="G385" s="25" t="s">
        <v>223</v>
      </c>
      <c r="H385" s="8" t="s">
        <v>2273</v>
      </c>
      <c r="I385" s="8" t="s">
        <v>422</v>
      </c>
      <c r="J385" s="42">
        <v>2005</v>
      </c>
      <c r="K385" s="8"/>
      <c r="L385" s="28">
        <v>82.5</v>
      </c>
      <c r="M385" s="28">
        <v>40</v>
      </c>
      <c r="N385" s="28">
        <f t="shared" si="8"/>
        <v>122.5</v>
      </c>
      <c r="O385" s="44"/>
      <c r="P385" s="44"/>
      <c r="Q385" s="8" t="s">
        <v>2274</v>
      </c>
      <c r="R385" s="8" t="s">
        <v>395</v>
      </c>
      <c r="S385" s="84"/>
      <c r="T385" s="8"/>
      <c r="U385" s="25" t="s">
        <v>2275</v>
      </c>
      <c r="V385" s="25" t="s">
        <v>2276</v>
      </c>
    </row>
    <row r="386" spans="2:22" ht="15" customHeight="1" x14ac:dyDescent="0.3">
      <c r="B386" s="22">
        <v>379</v>
      </c>
      <c r="C386" s="8" t="s">
        <v>15</v>
      </c>
      <c r="D386" s="8" t="s">
        <v>2247</v>
      </c>
      <c r="E386" s="8" t="s">
        <v>2277</v>
      </c>
      <c r="F386" s="8" t="s">
        <v>390</v>
      </c>
      <c r="G386" s="8" t="s">
        <v>440</v>
      </c>
      <c r="H386" s="8" t="s">
        <v>2278</v>
      </c>
      <c r="I386" s="8" t="s">
        <v>422</v>
      </c>
      <c r="J386" s="42">
        <v>2019</v>
      </c>
      <c r="K386" s="8"/>
      <c r="L386" s="28">
        <v>32.5</v>
      </c>
      <c r="M386" s="28">
        <v>32.5</v>
      </c>
      <c r="N386" s="28">
        <f t="shared" si="8"/>
        <v>65</v>
      </c>
      <c r="O386" s="45"/>
      <c r="P386" s="25"/>
      <c r="Q386" s="8" t="s">
        <v>2279</v>
      </c>
      <c r="R386" s="8" t="s">
        <v>877</v>
      </c>
      <c r="S386" s="84" t="s">
        <v>1204</v>
      </c>
      <c r="T386" s="8"/>
      <c r="U386" s="25" t="s">
        <v>2275</v>
      </c>
      <c r="V386" s="25" t="s">
        <v>2276</v>
      </c>
    </row>
    <row r="387" spans="2:22" ht="15" customHeight="1" x14ac:dyDescent="0.3">
      <c r="B387" s="22">
        <v>380</v>
      </c>
      <c r="C387" s="8" t="s">
        <v>15</v>
      </c>
      <c r="D387" s="8" t="s">
        <v>2247</v>
      </c>
      <c r="E387" s="8" t="s">
        <v>2280</v>
      </c>
      <c r="F387" s="8" t="s">
        <v>390</v>
      </c>
      <c r="G387" s="8" t="s">
        <v>702</v>
      </c>
      <c r="H387" s="8" t="s">
        <v>422</v>
      </c>
      <c r="I387" s="8" t="s">
        <v>422</v>
      </c>
      <c r="J387" s="42">
        <v>2022</v>
      </c>
      <c r="K387" s="8"/>
      <c r="L387" s="28">
        <v>50</v>
      </c>
      <c r="M387" s="28">
        <v>50</v>
      </c>
      <c r="N387" s="28">
        <f t="shared" si="8"/>
        <v>100</v>
      </c>
      <c r="O387" s="44"/>
      <c r="P387" s="44"/>
      <c r="Q387" s="8" t="s">
        <v>2281</v>
      </c>
      <c r="R387" s="8" t="s">
        <v>877</v>
      </c>
      <c r="S387" s="84" t="s">
        <v>1204</v>
      </c>
      <c r="T387" s="8"/>
      <c r="U387" s="25" t="s">
        <v>2275</v>
      </c>
      <c r="V387" s="25" t="s">
        <v>2276</v>
      </c>
    </row>
    <row r="388" spans="2:22" ht="15" customHeight="1" x14ac:dyDescent="0.3">
      <c r="B388" s="22">
        <v>381</v>
      </c>
      <c r="C388" s="8" t="s">
        <v>15</v>
      </c>
      <c r="D388" s="8" t="s">
        <v>2282</v>
      </c>
      <c r="E388" s="8" t="s">
        <v>2283</v>
      </c>
      <c r="F388" s="8" t="s">
        <v>50</v>
      </c>
      <c r="G388" s="8" t="s">
        <v>220</v>
      </c>
      <c r="H388" s="8" t="s">
        <v>2284</v>
      </c>
      <c r="I388" s="8" t="s">
        <v>51</v>
      </c>
      <c r="J388" s="42">
        <v>2002</v>
      </c>
      <c r="K388" s="8"/>
      <c r="L388" s="28">
        <v>750</v>
      </c>
      <c r="M388" s="28">
        <v>50</v>
      </c>
      <c r="N388" s="28">
        <f t="shared" si="8"/>
        <v>800</v>
      </c>
      <c r="O388" s="44"/>
      <c r="P388" s="44"/>
      <c r="Q388" s="8" t="s">
        <v>2285</v>
      </c>
      <c r="R388" s="8" t="s">
        <v>2286</v>
      </c>
      <c r="S388" s="84" t="s">
        <v>2287</v>
      </c>
      <c r="T388" s="8"/>
      <c r="U388" s="25" t="s">
        <v>2288</v>
      </c>
      <c r="V388" s="25" t="s">
        <v>2289</v>
      </c>
    </row>
    <row r="389" spans="2:22" ht="15" customHeight="1" x14ac:dyDescent="0.3">
      <c r="B389" s="22">
        <v>382</v>
      </c>
      <c r="C389" s="8" t="s">
        <v>15</v>
      </c>
      <c r="D389" s="8" t="s">
        <v>2282</v>
      </c>
      <c r="E389" s="8" t="s">
        <v>2290</v>
      </c>
      <c r="F389" s="8" t="s">
        <v>55</v>
      </c>
      <c r="G389" s="8" t="s">
        <v>539</v>
      </c>
      <c r="H389" s="8" t="s">
        <v>944</v>
      </c>
      <c r="I389" s="8" t="s">
        <v>51</v>
      </c>
      <c r="J389" s="42">
        <v>2019</v>
      </c>
      <c r="K389" s="8"/>
      <c r="L389" s="28">
        <v>290</v>
      </c>
      <c r="M389" s="28">
        <v>0</v>
      </c>
      <c r="N389" s="28">
        <f t="shared" si="8"/>
        <v>290</v>
      </c>
      <c r="O389" s="43"/>
      <c r="P389" s="43"/>
      <c r="Q389" s="8" t="s">
        <v>2291</v>
      </c>
      <c r="R389" s="8" t="s">
        <v>1657</v>
      </c>
      <c r="S389" s="84"/>
      <c r="T389" s="8"/>
      <c r="U389" s="25" t="s">
        <v>2292</v>
      </c>
      <c r="V389" s="25" t="s">
        <v>2293</v>
      </c>
    </row>
    <row r="390" spans="2:22" ht="15" customHeight="1" x14ac:dyDescent="0.3">
      <c r="B390" s="22">
        <v>383</v>
      </c>
      <c r="C390" s="8" t="s">
        <v>15</v>
      </c>
      <c r="D390" s="8" t="s">
        <v>2282</v>
      </c>
      <c r="E390" s="8" t="s">
        <v>2294</v>
      </c>
      <c r="F390" s="8" t="s">
        <v>50</v>
      </c>
      <c r="G390" s="8" t="s">
        <v>2295</v>
      </c>
      <c r="H390" s="8" t="s">
        <v>2296</v>
      </c>
      <c r="I390" s="8" t="s">
        <v>51</v>
      </c>
      <c r="J390" s="42">
        <v>2000</v>
      </c>
      <c r="K390" s="8"/>
      <c r="L390" s="28">
        <v>2550</v>
      </c>
      <c r="M390" s="28">
        <v>1200</v>
      </c>
      <c r="N390" s="28">
        <f>SUM(K390:M390)</f>
        <v>3750</v>
      </c>
      <c r="O390" s="34"/>
      <c r="P390" s="43"/>
      <c r="Q390" s="8" t="s">
        <v>2297</v>
      </c>
      <c r="R390" s="8" t="s">
        <v>42</v>
      </c>
      <c r="S390" s="84" t="s">
        <v>2298</v>
      </c>
      <c r="T390" s="8"/>
      <c r="U390" s="25" t="s">
        <v>2299</v>
      </c>
      <c r="V390" s="25" t="s">
        <v>2300</v>
      </c>
    </row>
    <row r="391" spans="2:22" ht="15" customHeight="1" x14ac:dyDescent="0.3">
      <c r="B391" s="22">
        <v>384</v>
      </c>
      <c r="C391" s="8" t="s">
        <v>15</v>
      </c>
      <c r="D391" s="8" t="s">
        <v>2282</v>
      </c>
      <c r="E391" s="8" t="s">
        <v>2301</v>
      </c>
      <c r="F391" s="8" t="s">
        <v>55</v>
      </c>
      <c r="G391" s="8" t="s">
        <v>2302</v>
      </c>
      <c r="H391" s="8" t="s">
        <v>2284</v>
      </c>
      <c r="I391" s="8" t="s">
        <v>51</v>
      </c>
      <c r="J391" s="42">
        <v>1949</v>
      </c>
      <c r="K391" s="8"/>
      <c r="L391" s="28">
        <v>1210</v>
      </c>
      <c r="M391" s="28">
        <v>790</v>
      </c>
      <c r="N391" s="28">
        <f t="shared" si="8"/>
        <v>2000</v>
      </c>
      <c r="O391" s="34"/>
      <c r="P391" s="43"/>
      <c r="Q391" s="8" t="s">
        <v>2303</v>
      </c>
      <c r="R391" s="8" t="s">
        <v>173</v>
      </c>
      <c r="S391" s="84" t="s">
        <v>2304</v>
      </c>
      <c r="T391" s="8"/>
      <c r="U391" s="25" t="s">
        <v>2288</v>
      </c>
      <c r="V391" s="25" t="s">
        <v>2289</v>
      </c>
    </row>
    <row r="392" spans="2:22" ht="15" customHeight="1" x14ac:dyDescent="0.3">
      <c r="B392" s="22">
        <v>385</v>
      </c>
      <c r="C392" s="8" t="s">
        <v>15</v>
      </c>
      <c r="D392" s="8" t="s">
        <v>2282</v>
      </c>
      <c r="E392" s="8" t="s">
        <v>2305</v>
      </c>
      <c r="F392" s="8" t="s">
        <v>55</v>
      </c>
      <c r="G392" s="8" t="s">
        <v>2295</v>
      </c>
      <c r="H392" s="8" t="s">
        <v>2296</v>
      </c>
      <c r="I392" s="8" t="s">
        <v>51</v>
      </c>
      <c r="J392" s="42">
        <v>2006</v>
      </c>
      <c r="K392" s="8">
        <v>600</v>
      </c>
      <c r="L392" s="28">
        <v>260</v>
      </c>
      <c r="M392" s="28">
        <v>100</v>
      </c>
      <c r="N392" s="28">
        <f t="shared" si="8"/>
        <v>960</v>
      </c>
      <c r="O392" s="34"/>
      <c r="P392" s="43"/>
      <c r="Q392" s="8" t="s">
        <v>2306</v>
      </c>
      <c r="R392" s="8" t="s">
        <v>173</v>
      </c>
      <c r="S392" s="84" t="s">
        <v>2304</v>
      </c>
      <c r="T392" s="8" t="s">
        <v>43</v>
      </c>
      <c r="U392" s="25" t="s">
        <v>2292</v>
      </c>
      <c r="V392" s="25" t="s">
        <v>2293</v>
      </c>
    </row>
    <row r="393" spans="2:22" ht="15" customHeight="1" x14ac:dyDescent="0.3">
      <c r="B393" s="22">
        <v>386</v>
      </c>
      <c r="C393" s="8" t="s">
        <v>15</v>
      </c>
      <c r="D393" s="8" t="s">
        <v>2307</v>
      </c>
      <c r="E393" s="8" t="s">
        <v>2308</v>
      </c>
      <c r="F393" s="8" t="s">
        <v>55</v>
      </c>
      <c r="G393" s="8" t="s">
        <v>2309</v>
      </c>
      <c r="H393" s="8" t="s">
        <v>2310</v>
      </c>
      <c r="I393" s="8" t="s">
        <v>67</v>
      </c>
      <c r="J393" s="42">
        <v>2022</v>
      </c>
      <c r="K393" s="34"/>
      <c r="L393" s="28">
        <v>8000</v>
      </c>
      <c r="M393" s="28"/>
      <c r="N393" s="28">
        <f t="shared" si="8"/>
        <v>8000</v>
      </c>
      <c r="O393" s="43"/>
      <c r="P393" s="43"/>
      <c r="Q393" s="8" t="s">
        <v>2311</v>
      </c>
      <c r="R393" s="8" t="s">
        <v>42</v>
      </c>
      <c r="S393" s="84" t="s">
        <v>2312</v>
      </c>
      <c r="T393" s="8"/>
      <c r="U393" s="25" t="s">
        <v>2313</v>
      </c>
      <c r="V393" s="25" t="s">
        <v>2314</v>
      </c>
    </row>
    <row r="394" spans="2:22" ht="15" customHeight="1" x14ac:dyDescent="0.3">
      <c r="B394" s="22">
        <v>387</v>
      </c>
      <c r="C394" s="8" t="s">
        <v>15</v>
      </c>
      <c r="D394" s="8" t="s">
        <v>2307</v>
      </c>
      <c r="E394" s="8" t="s">
        <v>2315</v>
      </c>
      <c r="F394" s="8" t="s">
        <v>55</v>
      </c>
      <c r="G394" s="8" t="s">
        <v>2316</v>
      </c>
      <c r="H394" s="8" t="s">
        <v>2317</v>
      </c>
      <c r="I394" s="8" t="s">
        <v>67</v>
      </c>
      <c r="J394" s="42">
        <v>2002</v>
      </c>
      <c r="K394" s="8">
        <v>550</v>
      </c>
      <c r="L394" s="28">
        <v>1450</v>
      </c>
      <c r="M394" s="28"/>
      <c r="N394" s="28">
        <f t="shared" si="8"/>
        <v>2000</v>
      </c>
      <c r="O394" s="43"/>
      <c r="P394" s="43"/>
      <c r="Q394" s="8" t="s">
        <v>2318</v>
      </c>
      <c r="R394" s="8" t="s">
        <v>42</v>
      </c>
      <c r="S394" s="84" t="s">
        <v>2319</v>
      </c>
      <c r="T394" s="8" t="s">
        <v>2320</v>
      </c>
      <c r="U394" s="25" t="s">
        <v>2321</v>
      </c>
      <c r="V394" s="25" t="s">
        <v>2322</v>
      </c>
    </row>
    <row r="395" spans="2:22" ht="15" customHeight="1" x14ac:dyDescent="0.3">
      <c r="B395" s="22">
        <v>388</v>
      </c>
      <c r="C395" s="8" t="s">
        <v>15</v>
      </c>
      <c r="D395" s="8" t="s">
        <v>2307</v>
      </c>
      <c r="E395" s="8" t="s">
        <v>2323</v>
      </c>
      <c r="F395" s="8" t="s">
        <v>55</v>
      </c>
      <c r="G395" s="8" t="s">
        <v>2324</v>
      </c>
      <c r="H395" s="8" t="s">
        <v>2325</v>
      </c>
      <c r="I395" s="8" t="s">
        <v>67</v>
      </c>
      <c r="J395" s="42">
        <v>2019</v>
      </c>
      <c r="K395" s="8">
        <v>228</v>
      </c>
      <c r="L395" s="28">
        <v>342</v>
      </c>
      <c r="M395" s="28"/>
      <c r="N395" s="28">
        <f t="shared" si="8"/>
        <v>570</v>
      </c>
      <c r="O395" s="34"/>
      <c r="P395" s="43"/>
      <c r="Q395" s="8" t="s">
        <v>2311</v>
      </c>
      <c r="R395" s="8" t="s">
        <v>42</v>
      </c>
      <c r="S395" s="84" t="s">
        <v>2312</v>
      </c>
      <c r="T395" s="8" t="s">
        <v>1418</v>
      </c>
      <c r="U395" s="25" t="s">
        <v>2326</v>
      </c>
      <c r="V395" s="25" t="s">
        <v>2327</v>
      </c>
    </row>
    <row r="396" spans="2:22" ht="15" customHeight="1" x14ac:dyDescent="0.3">
      <c r="B396" s="22">
        <v>389</v>
      </c>
      <c r="C396" s="8" t="s">
        <v>15</v>
      </c>
      <c r="D396" s="8" t="s">
        <v>2307</v>
      </c>
      <c r="E396" s="8" t="s">
        <v>2328</v>
      </c>
      <c r="F396" s="8" t="s">
        <v>50</v>
      </c>
      <c r="G396" s="5" t="s">
        <v>2329</v>
      </c>
      <c r="H396" s="5" t="s">
        <v>2330</v>
      </c>
      <c r="I396" s="5" t="s">
        <v>67</v>
      </c>
      <c r="J396" s="42">
        <v>1962</v>
      </c>
      <c r="K396" s="37">
        <v>30</v>
      </c>
      <c r="L396" s="19">
        <v>1100</v>
      </c>
      <c r="M396" s="19"/>
      <c r="N396" s="28">
        <f>SUM(K396:M396)</f>
        <v>1130</v>
      </c>
      <c r="O396" s="34"/>
      <c r="P396" s="5"/>
      <c r="Q396" s="8" t="s">
        <v>2311</v>
      </c>
      <c r="R396" s="8" t="s">
        <v>42</v>
      </c>
      <c r="S396" s="84" t="s">
        <v>2312</v>
      </c>
      <c r="T396" s="8" t="s">
        <v>43</v>
      </c>
      <c r="U396" s="8" t="s">
        <v>2313</v>
      </c>
      <c r="V396" s="8" t="s">
        <v>2314</v>
      </c>
    </row>
    <row r="397" spans="2:22" ht="15" customHeight="1" x14ac:dyDescent="0.3">
      <c r="B397" s="22">
        <v>390</v>
      </c>
      <c r="C397" s="8" t="s">
        <v>15</v>
      </c>
      <c r="D397" s="8" t="s">
        <v>2331</v>
      </c>
      <c r="E397" s="8" t="s">
        <v>2332</v>
      </c>
      <c r="F397" s="8" t="s">
        <v>390</v>
      </c>
      <c r="G397" s="8" t="s">
        <v>2333</v>
      </c>
      <c r="H397" s="8" t="s">
        <v>2334</v>
      </c>
      <c r="I397" s="8" t="s">
        <v>51</v>
      </c>
      <c r="J397" s="42">
        <v>2018</v>
      </c>
      <c r="K397" s="8"/>
      <c r="L397" s="28">
        <v>181</v>
      </c>
      <c r="M397" s="28">
        <v>10</v>
      </c>
      <c r="N397" s="28">
        <f t="shared" si="8"/>
        <v>191</v>
      </c>
      <c r="O397" s="34"/>
      <c r="P397" s="8"/>
      <c r="Q397" s="8" t="s">
        <v>2335</v>
      </c>
      <c r="R397" s="8" t="s">
        <v>395</v>
      </c>
      <c r="S397" s="84" t="s">
        <v>2336</v>
      </c>
      <c r="T397" s="14"/>
      <c r="U397" s="8" t="s">
        <v>2337</v>
      </c>
      <c r="V397" s="8" t="s">
        <v>2338</v>
      </c>
    </row>
    <row r="398" spans="2:22" ht="15" customHeight="1" x14ac:dyDescent="0.3">
      <c r="B398" s="22">
        <v>391</v>
      </c>
      <c r="C398" s="8" t="s">
        <v>15</v>
      </c>
      <c r="D398" s="8" t="s">
        <v>2331</v>
      </c>
      <c r="E398" s="8" t="s">
        <v>2339</v>
      </c>
      <c r="F398" s="8" t="s">
        <v>390</v>
      </c>
      <c r="G398" s="8" t="s">
        <v>2340</v>
      </c>
      <c r="H398" s="8" t="s">
        <v>2341</v>
      </c>
      <c r="I398" s="8" t="s">
        <v>51</v>
      </c>
      <c r="J398" s="42" t="s">
        <v>170</v>
      </c>
      <c r="K398" s="8"/>
      <c r="L398" s="28">
        <v>117.5</v>
      </c>
      <c r="M398" s="28">
        <v>20</v>
      </c>
      <c r="N398" s="28">
        <f t="shared" si="8"/>
        <v>137.5</v>
      </c>
      <c r="O398" s="34"/>
      <c r="P398" s="8"/>
      <c r="Q398" s="8" t="s">
        <v>2342</v>
      </c>
      <c r="R398" s="8" t="s">
        <v>395</v>
      </c>
      <c r="S398" s="84" t="s">
        <v>2343</v>
      </c>
      <c r="T398" s="14"/>
      <c r="U398" s="8" t="s">
        <v>2337</v>
      </c>
      <c r="V398" s="8" t="s">
        <v>2338</v>
      </c>
    </row>
    <row r="399" spans="2:22" ht="15" customHeight="1" x14ac:dyDescent="0.3">
      <c r="B399" s="22">
        <v>392</v>
      </c>
      <c r="C399" s="8" t="s">
        <v>15</v>
      </c>
      <c r="D399" s="8" t="s">
        <v>2331</v>
      </c>
      <c r="E399" s="8" t="s">
        <v>2344</v>
      </c>
      <c r="F399" s="8" t="s">
        <v>106</v>
      </c>
      <c r="G399" s="8" t="s">
        <v>539</v>
      </c>
      <c r="H399" s="8" t="s">
        <v>2345</v>
      </c>
      <c r="I399" s="8" t="s">
        <v>51</v>
      </c>
      <c r="J399" s="42" t="s">
        <v>1282</v>
      </c>
      <c r="K399" s="8"/>
      <c r="L399" s="28">
        <v>70</v>
      </c>
      <c r="M399" s="28"/>
      <c r="N399" s="28">
        <f t="shared" si="8"/>
        <v>70</v>
      </c>
      <c r="O399" s="34"/>
      <c r="P399" s="8"/>
      <c r="Q399" s="8" t="s">
        <v>2346</v>
      </c>
      <c r="R399" s="8" t="s">
        <v>395</v>
      </c>
      <c r="S399" s="84"/>
      <c r="T399" s="8"/>
      <c r="U399" s="8" t="s">
        <v>2347</v>
      </c>
      <c r="V399" s="8" t="s">
        <v>2348</v>
      </c>
    </row>
    <row r="400" spans="2:22" ht="15" customHeight="1" x14ac:dyDescent="0.3">
      <c r="B400" s="22">
        <v>393</v>
      </c>
      <c r="C400" s="8" t="s">
        <v>15</v>
      </c>
      <c r="D400" s="8" t="s">
        <v>2331</v>
      </c>
      <c r="E400" s="5" t="s">
        <v>2349</v>
      </c>
      <c r="F400" s="5" t="s">
        <v>1243</v>
      </c>
      <c r="G400" s="5" t="s">
        <v>2350</v>
      </c>
      <c r="H400" s="5" t="s">
        <v>2351</v>
      </c>
      <c r="I400" s="5" t="s">
        <v>51</v>
      </c>
      <c r="J400" s="42" t="s">
        <v>1296</v>
      </c>
      <c r="K400" s="5"/>
      <c r="L400" s="19">
        <v>70</v>
      </c>
      <c r="M400" s="19"/>
      <c r="N400" s="28">
        <f t="shared" si="8"/>
        <v>70</v>
      </c>
      <c r="O400" s="37"/>
      <c r="P400" s="5"/>
      <c r="Q400" s="5" t="s">
        <v>2352</v>
      </c>
      <c r="R400" s="5" t="s">
        <v>2353</v>
      </c>
      <c r="S400" s="130"/>
      <c r="T400" s="5"/>
      <c r="U400" s="5" t="s">
        <v>2354</v>
      </c>
      <c r="V400" s="5" t="s">
        <v>2355</v>
      </c>
    </row>
    <row r="401" spans="2:22" ht="15" customHeight="1" x14ac:dyDescent="0.3">
      <c r="B401" s="22">
        <v>394</v>
      </c>
      <c r="C401" s="8" t="s">
        <v>15</v>
      </c>
      <c r="D401" s="8" t="s">
        <v>2331</v>
      </c>
      <c r="E401" s="8" t="s">
        <v>2356</v>
      </c>
      <c r="F401" s="8" t="s">
        <v>55</v>
      </c>
      <c r="G401" s="8" t="s">
        <v>2357</v>
      </c>
      <c r="H401" s="8" t="s">
        <v>2358</v>
      </c>
      <c r="I401" s="8" t="s">
        <v>51</v>
      </c>
      <c r="J401" s="42" t="s">
        <v>2359</v>
      </c>
      <c r="K401" s="8"/>
      <c r="L401" s="28">
        <v>500</v>
      </c>
      <c r="M401" s="28"/>
      <c r="N401" s="28">
        <f t="shared" si="8"/>
        <v>500</v>
      </c>
      <c r="O401" s="34"/>
      <c r="P401" s="8"/>
      <c r="Q401" s="8" t="s">
        <v>2360</v>
      </c>
      <c r="R401" s="8" t="s">
        <v>42</v>
      </c>
      <c r="S401" s="84" t="s">
        <v>2361</v>
      </c>
      <c r="T401" s="8"/>
      <c r="U401" s="8" t="s">
        <v>2362</v>
      </c>
      <c r="V401" s="8" t="s">
        <v>2363</v>
      </c>
    </row>
    <row r="402" spans="2:22" ht="15" customHeight="1" x14ac:dyDescent="0.3">
      <c r="B402" s="22">
        <v>395</v>
      </c>
      <c r="C402" s="8" t="s">
        <v>15</v>
      </c>
      <c r="D402" s="8" t="s">
        <v>2331</v>
      </c>
      <c r="E402" s="8" t="s">
        <v>2364</v>
      </c>
      <c r="F402" s="8" t="s">
        <v>55</v>
      </c>
      <c r="G402" s="8" t="s">
        <v>2365</v>
      </c>
      <c r="H402" s="8" t="s">
        <v>2366</v>
      </c>
      <c r="I402" s="8" t="s">
        <v>51</v>
      </c>
      <c r="J402" s="42">
        <v>2014</v>
      </c>
      <c r="K402" s="8"/>
      <c r="L402" s="28">
        <v>22</v>
      </c>
      <c r="M402" s="28">
        <v>40</v>
      </c>
      <c r="N402" s="28">
        <f t="shared" si="8"/>
        <v>62</v>
      </c>
      <c r="O402" s="34"/>
      <c r="P402" s="8"/>
      <c r="Q402" s="8" t="s">
        <v>2367</v>
      </c>
      <c r="R402" s="8" t="s">
        <v>395</v>
      </c>
      <c r="S402" s="84"/>
      <c r="T402" s="8"/>
      <c r="U402" s="8" t="s">
        <v>2368</v>
      </c>
      <c r="V402" s="8" t="s">
        <v>2369</v>
      </c>
    </row>
    <row r="403" spans="2:22" ht="15" customHeight="1" x14ac:dyDescent="0.3">
      <c r="B403" s="22">
        <v>396</v>
      </c>
      <c r="C403" s="8" t="s">
        <v>15</v>
      </c>
      <c r="D403" s="8" t="s">
        <v>2331</v>
      </c>
      <c r="E403" s="8" t="s">
        <v>2370</v>
      </c>
      <c r="F403" s="8" t="s">
        <v>390</v>
      </c>
      <c r="G403" s="8" t="s">
        <v>440</v>
      </c>
      <c r="H403" s="8" t="s">
        <v>422</v>
      </c>
      <c r="I403" s="8" t="s">
        <v>67</v>
      </c>
      <c r="J403" s="42">
        <v>2008</v>
      </c>
      <c r="K403" s="8"/>
      <c r="L403" s="28">
        <v>270</v>
      </c>
      <c r="M403" s="28"/>
      <c r="N403" s="28">
        <f>SUM(K403:M403)</f>
        <v>270</v>
      </c>
      <c r="O403" s="45"/>
      <c r="P403" s="8"/>
      <c r="Q403" s="8" t="s">
        <v>2371</v>
      </c>
      <c r="R403" s="8" t="s">
        <v>395</v>
      </c>
      <c r="S403" s="84" t="s">
        <v>2372</v>
      </c>
      <c r="T403" s="8"/>
      <c r="U403" s="8" t="s">
        <v>2373</v>
      </c>
      <c r="V403" s="8" t="s">
        <v>2374</v>
      </c>
    </row>
    <row r="404" spans="2:22" ht="15" customHeight="1" x14ac:dyDescent="0.3">
      <c r="B404" s="22">
        <v>397</v>
      </c>
      <c r="C404" s="8" t="s">
        <v>15</v>
      </c>
      <c r="D404" s="8" t="s">
        <v>2331</v>
      </c>
      <c r="E404" s="25" t="s">
        <v>2375</v>
      </c>
      <c r="F404" s="25" t="s">
        <v>50</v>
      </c>
      <c r="G404" s="25" t="s">
        <v>2376</v>
      </c>
      <c r="H404" s="25" t="s">
        <v>2377</v>
      </c>
      <c r="I404" s="25" t="s">
        <v>51</v>
      </c>
      <c r="J404" s="42" t="s">
        <v>1467</v>
      </c>
      <c r="K404" s="25"/>
      <c r="L404" s="46">
        <v>30</v>
      </c>
      <c r="M404" s="46"/>
      <c r="N404" s="28">
        <f t="shared" si="8"/>
        <v>30</v>
      </c>
      <c r="O404" s="45"/>
      <c r="P404" s="25"/>
      <c r="Q404" s="25" t="s">
        <v>2378</v>
      </c>
      <c r="R404" s="25" t="s">
        <v>395</v>
      </c>
      <c r="S404" s="130"/>
      <c r="T404" s="25"/>
      <c r="U404" s="25" t="s">
        <v>2379</v>
      </c>
      <c r="V404" s="25" t="s">
        <v>2380</v>
      </c>
    </row>
    <row r="405" spans="2:22" ht="15" customHeight="1" x14ac:dyDescent="0.3">
      <c r="B405" s="22">
        <v>398</v>
      </c>
      <c r="C405" s="8" t="s">
        <v>15</v>
      </c>
      <c r="D405" s="8" t="s">
        <v>2381</v>
      </c>
      <c r="E405" s="8" t="s">
        <v>2382</v>
      </c>
      <c r="F405" s="8" t="s">
        <v>55</v>
      </c>
      <c r="G405" s="8" t="s">
        <v>2383</v>
      </c>
      <c r="H405" s="8" t="s">
        <v>2384</v>
      </c>
      <c r="I405" s="8" t="s">
        <v>51</v>
      </c>
      <c r="J405" s="42">
        <v>2009</v>
      </c>
      <c r="K405" s="8"/>
      <c r="L405" s="28">
        <v>15</v>
      </c>
      <c r="M405" s="28">
        <v>364</v>
      </c>
      <c r="N405" s="28">
        <f t="shared" si="8"/>
        <v>379</v>
      </c>
      <c r="O405" s="34"/>
      <c r="P405" s="8"/>
      <c r="Q405" s="8"/>
      <c r="R405" s="8"/>
      <c r="S405" s="84"/>
      <c r="T405" s="8"/>
      <c r="U405" s="8" t="s">
        <v>2385</v>
      </c>
      <c r="V405" s="8" t="s">
        <v>2386</v>
      </c>
    </row>
    <row r="406" spans="2:22" ht="15" customHeight="1" x14ac:dyDescent="0.3">
      <c r="B406" s="22">
        <v>399</v>
      </c>
      <c r="C406" s="8" t="s">
        <v>15</v>
      </c>
      <c r="D406" s="8" t="s">
        <v>2381</v>
      </c>
      <c r="E406" s="8" t="s">
        <v>2387</v>
      </c>
      <c r="F406" s="8" t="s">
        <v>55</v>
      </c>
      <c r="G406" s="8" t="s">
        <v>167</v>
      </c>
      <c r="H406" s="8" t="s">
        <v>2388</v>
      </c>
      <c r="I406" s="8" t="s">
        <v>67</v>
      </c>
      <c r="J406" s="42">
        <v>2014</v>
      </c>
      <c r="K406" s="8"/>
      <c r="L406" s="28">
        <v>0</v>
      </c>
      <c r="M406" s="28">
        <v>250</v>
      </c>
      <c r="N406" s="28">
        <f t="shared" si="8"/>
        <v>250</v>
      </c>
      <c r="O406" s="34"/>
      <c r="P406" s="8"/>
      <c r="Q406" s="8"/>
      <c r="R406" s="8"/>
      <c r="S406" s="84"/>
      <c r="T406" s="8"/>
      <c r="U406" s="8" t="s">
        <v>2389</v>
      </c>
      <c r="V406" s="8" t="s">
        <v>2390</v>
      </c>
    </row>
    <row r="407" spans="2:22" ht="15" customHeight="1" x14ac:dyDescent="0.3">
      <c r="B407" s="22">
        <v>400</v>
      </c>
      <c r="C407" s="8" t="s">
        <v>15</v>
      </c>
      <c r="D407" s="8" t="s">
        <v>2381</v>
      </c>
      <c r="E407" s="8" t="s">
        <v>2391</v>
      </c>
      <c r="F407" s="8" t="s">
        <v>2392</v>
      </c>
      <c r="G407" s="8" t="s">
        <v>2393</v>
      </c>
      <c r="H407" s="8" t="s">
        <v>2394</v>
      </c>
      <c r="I407" s="8" t="s">
        <v>67</v>
      </c>
      <c r="J407" s="42">
        <v>2020</v>
      </c>
      <c r="K407" s="8"/>
      <c r="L407" s="28">
        <v>100</v>
      </c>
      <c r="M407" s="28">
        <v>50</v>
      </c>
      <c r="N407" s="28">
        <f t="shared" si="8"/>
        <v>150</v>
      </c>
      <c r="O407" s="111"/>
      <c r="P407" s="14"/>
      <c r="Q407" s="14"/>
      <c r="R407" s="14"/>
      <c r="S407" s="128"/>
      <c r="T407" s="14"/>
      <c r="U407" s="8" t="s">
        <v>2395</v>
      </c>
      <c r="V407" s="8" t="s">
        <v>2396</v>
      </c>
    </row>
    <row r="408" spans="2:22" ht="15" customHeight="1" x14ac:dyDescent="0.3">
      <c r="B408" s="22">
        <v>401</v>
      </c>
      <c r="C408" s="8" t="s">
        <v>15</v>
      </c>
      <c r="D408" s="8" t="s">
        <v>2381</v>
      </c>
      <c r="E408" s="8" t="s">
        <v>2397</v>
      </c>
      <c r="F408" s="8" t="s">
        <v>55</v>
      </c>
      <c r="G408" s="8" t="s">
        <v>2398</v>
      </c>
      <c r="H408" s="8" t="s">
        <v>2399</v>
      </c>
      <c r="I408" s="8" t="s">
        <v>51</v>
      </c>
      <c r="J408" s="42">
        <v>2017</v>
      </c>
      <c r="K408" s="8">
        <v>83</v>
      </c>
      <c r="L408" s="28">
        <v>124.5</v>
      </c>
      <c r="M408" s="28"/>
      <c r="N408" s="28">
        <f t="shared" si="8"/>
        <v>207.5</v>
      </c>
      <c r="O408" s="34"/>
      <c r="P408" s="8"/>
      <c r="Q408" s="8"/>
      <c r="R408" s="8"/>
      <c r="S408" s="84"/>
      <c r="T408" s="8" t="s">
        <v>1418</v>
      </c>
      <c r="U408" s="8" t="s">
        <v>2400</v>
      </c>
      <c r="V408" s="8" t="s">
        <v>2401</v>
      </c>
    </row>
    <row r="409" spans="2:22" ht="15" customHeight="1" x14ac:dyDescent="0.3">
      <c r="B409" s="22">
        <v>402</v>
      </c>
      <c r="C409" s="8" t="s">
        <v>15</v>
      </c>
      <c r="D409" s="8" t="s">
        <v>2381</v>
      </c>
      <c r="E409" s="8" t="s">
        <v>2402</v>
      </c>
      <c r="F409" s="8" t="s">
        <v>55</v>
      </c>
      <c r="G409" s="8" t="s">
        <v>2403</v>
      </c>
      <c r="H409" s="8" t="s">
        <v>2404</v>
      </c>
      <c r="I409" s="8" t="s">
        <v>51</v>
      </c>
      <c r="J409" s="42" t="s">
        <v>2405</v>
      </c>
      <c r="K409" s="8"/>
      <c r="L409" s="28">
        <v>7.5</v>
      </c>
      <c r="M409" s="28" t="s">
        <v>2406</v>
      </c>
      <c r="N409" s="28">
        <f t="shared" si="8"/>
        <v>7.5</v>
      </c>
      <c r="O409" s="34"/>
      <c r="P409" s="8"/>
      <c r="Q409" s="8"/>
      <c r="R409" s="8"/>
      <c r="S409" s="84"/>
      <c r="T409" s="8"/>
      <c r="U409" s="8" t="s">
        <v>2407</v>
      </c>
      <c r="V409" s="8" t="s">
        <v>2408</v>
      </c>
    </row>
    <row r="410" spans="2:22" ht="15" customHeight="1" x14ac:dyDescent="0.3">
      <c r="B410" s="22">
        <v>403</v>
      </c>
      <c r="C410" s="8" t="s">
        <v>15</v>
      </c>
      <c r="D410" s="8" t="s">
        <v>2381</v>
      </c>
      <c r="E410" s="8" t="s">
        <v>2409</v>
      </c>
      <c r="F410" s="55" t="s">
        <v>2410</v>
      </c>
      <c r="G410" s="8" t="s">
        <v>2411</v>
      </c>
      <c r="H410" s="8" t="s">
        <v>2412</v>
      </c>
      <c r="I410" s="8" t="s">
        <v>51</v>
      </c>
      <c r="J410" s="42">
        <v>1993</v>
      </c>
      <c r="K410" s="8"/>
      <c r="L410" s="28">
        <v>200</v>
      </c>
      <c r="M410" s="28">
        <v>100</v>
      </c>
      <c r="N410" s="28">
        <f t="shared" si="8"/>
        <v>300</v>
      </c>
      <c r="O410" s="34"/>
      <c r="P410" s="8"/>
      <c r="Q410" s="8" t="s">
        <v>2413</v>
      </c>
      <c r="R410" s="8" t="s">
        <v>2414</v>
      </c>
      <c r="S410" s="84"/>
      <c r="T410" s="8"/>
      <c r="U410" s="8" t="s">
        <v>2415</v>
      </c>
      <c r="V410" s="8" t="s">
        <v>2416</v>
      </c>
    </row>
    <row r="411" spans="2:22" ht="15" customHeight="1" x14ac:dyDescent="0.3">
      <c r="B411" s="22">
        <v>404</v>
      </c>
      <c r="C411" s="8" t="s">
        <v>15</v>
      </c>
      <c r="D411" s="8" t="s">
        <v>2381</v>
      </c>
      <c r="E411" s="8" t="s">
        <v>2417</v>
      </c>
      <c r="F411" s="8" t="s">
        <v>390</v>
      </c>
      <c r="G411" s="8" t="s">
        <v>2418</v>
      </c>
      <c r="H411" s="8" t="s">
        <v>2419</v>
      </c>
      <c r="I411" s="8" t="s">
        <v>51</v>
      </c>
      <c r="J411" s="42">
        <v>1985</v>
      </c>
      <c r="K411" s="8"/>
      <c r="L411" s="28">
        <v>180</v>
      </c>
      <c r="M411" s="28">
        <v>18</v>
      </c>
      <c r="N411" s="28">
        <f t="shared" si="8"/>
        <v>198</v>
      </c>
      <c r="O411" s="34"/>
      <c r="P411" s="8"/>
      <c r="Q411" s="8" t="s">
        <v>2420</v>
      </c>
      <c r="R411" s="8" t="s">
        <v>2414</v>
      </c>
      <c r="S411" s="84"/>
      <c r="T411" s="8"/>
      <c r="U411" s="8" t="s">
        <v>2421</v>
      </c>
      <c r="V411" s="8" t="s">
        <v>2422</v>
      </c>
    </row>
    <row r="412" spans="2:22" ht="15" customHeight="1" x14ac:dyDescent="0.3">
      <c r="B412" s="22">
        <v>405</v>
      </c>
      <c r="C412" s="8" t="s">
        <v>15</v>
      </c>
      <c r="D412" s="8" t="s">
        <v>2381</v>
      </c>
      <c r="E412" s="8" t="s">
        <v>2423</v>
      </c>
      <c r="F412" s="8" t="s">
        <v>55</v>
      </c>
      <c r="G412" s="8" t="s">
        <v>2424</v>
      </c>
      <c r="H412" s="8" t="s">
        <v>2425</v>
      </c>
      <c r="I412" s="8" t="s">
        <v>67</v>
      </c>
      <c r="J412" s="42" t="s">
        <v>1282</v>
      </c>
      <c r="K412" s="8">
        <v>20</v>
      </c>
      <c r="L412" s="28">
        <v>136</v>
      </c>
      <c r="M412" s="28"/>
      <c r="N412" s="28">
        <f>SUM(K412:M412)</f>
        <v>156</v>
      </c>
      <c r="O412" s="34"/>
      <c r="P412" s="8"/>
      <c r="Q412" s="14"/>
      <c r="R412" s="14"/>
      <c r="S412" s="128"/>
      <c r="T412" s="8" t="s">
        <v>2426</v>
      </c>
      <c r="U412" s="8" t="s">
        <v>2427</v>
      </c>
      <c r="V412" s="8" t="s">
        <v>2428</v>
      </c>
    </row>
    <row r="413" spans="2:22" ht="15" customHeight="1" x14ac:dyDescent="0.3">
      <c r="B413" s="22">
        <v>406</v>
      </c>
      <c r="C413" s="8" t="s">
        <v>15</v>
      </c>
      <c r="D413" s="5" t="s">
        <v>2381</v>
      </c>
      <c r="E413" s="5" t="s">
        <v>2429</v>
      </c>
      <c r="F413" s="8" t="s">
        <v>55</v>
      </c>
      <c r="G413" s="8" t="s">
        <v>2424</v>
      </c>
      <c r="H413" s="5" t="s">
        <v>2430</v>
      </c>
      <c r="I413" s="5" t="s">
        <v>51</v>
      </c>
      <c r="J413" s="42" t="s">
        <v>1647</v>
      </c>
      <c r="K413" s="5"/>
      <c r="L413" s="19">
        <v>142</v>
      </c>
      <c r="M413" s="19"/>
      <c r="N413" s="28">
        <f t="shared" si="8"/>
        <v>142</v>
      </c>
      <c r="O413" s="37"/>
      <c r="P413" s="5"/>
      <c r="Q413" s="5" t="s">
        <v>2431</v>
      </c>
      <c r="R413" s="5"/>
      <c r="S413" s="128"/>
      <c r="T413" s="5"/>
      <c r="U413" s="5" t="s">
        <v>2432</v>
      </c>
      <c r="V413" s="5" t="s">
        <v>2433</v>
      </c>
    </row>
    <row r="414" spans="2:22" ht="15" customHeight="1" x14ac:dyDescent="0.3">
      <c r="B414" s="22">
        <v>407</v>
      </c>
      <c r="C414" s="8" t="s">
        <v>15</v>
      </c>
      <c r="D414" s="8" t="s">
        <v>2381</v>
      </c>
      <c r="E414" s="8" t="s">
        <v>2434</v>
      </c>
      <c r="F414" s="8" t="s">
        <v>1243</v>
      </c>
      <c r="G414" s="8" t="s">
        <v>2435</v>
      </c>
      <c r="H414" s="8" t="s">
        <v>2436</v>
      </c>
      <c r="I414" s="8" t="s">
        <v>51</v>
      </c>
      <c r="J414" s="42">
        <v>2013</v>
      </c>
      <c r="K414" s="8"/>
      <c r="L414" s="28">
        <v>66</v>
      </c>
      <c r="M414" s="28">
        <v>4</v>
      </c>
      <c r="N414" s="28">
        <f t="shared" si="8"/>
        <v>70</v>
      </c>
      <c r="O414" s="34"/>
      <c r="P414" s="31"/>
      <c r="Q414" s="8" t="s">
        <v>2437</v>
      </c>
      <c r="R414" s="8" t="s">
        <v>2414</v>
      </c>
      <c r="S414" s="84"/>
      <c r="T414" s="25"/>
      <c r="U414" s="8" t="s">
        <v>2438</v>
      </c>
      <c r="V414" s="8" t="s">
        <v>2439</v>
      </c>
    </row>
    <row r="415" spans="2:22" ht="15" customHeight="1" x14ac:dyDescent="0.3">
      <c r="B415" s="22">
        <v>408</v>
      </c>
      <c r="C415" s="8" t="s">
        <v>15</v>
      </c>
      <c r="D415" s="8" t="s">
        <v>2381</v>
      </c>
      <c r="E415" s="8" t="s">
        <v>2440</v>
      </c>
      <c r="F415" s="8" t="s">
        <v>50</v>
      </c>
      <c r="G415" s="8" t="s">
        <v>2441</v>
      </c>
      <c r="H415" s="8" t="s">
        <v>2442</v>
      </c>
      <c r="I415" s="8" t="s">
        <v>67</v>
      </c>
      <c r="J415" s="42">
        <v>1962</v>
      </c>
      <c r="K415" s="8"/>
      <c r="L415" s="28">
        <v>900</v>
      </c>
      <c r="M415" s="28">
        <v>200</v>
      </c>
      <c r="N415" s="28">
        <f t="shared" si="8"/>
        <v>1100</v>
      </c>
      <c r="O415" s="34"/>
      <c r="P415" s="8"/>
      <c r="Q415" s="8" t="s">
        <v>2443</v>
      </c>
      <c r="R415" s="8" t="s">
        <v>173</v>
      </c>
      <c r="S415" s="84" t="s">
        <v>2444</v>
      </c>
      <c r="T415" s="25"/>
      <c r="U415" s="8" t="s">
        <v>2445</v>
      </c>
      <c r="V415" s="8" t="s">
        <v>2446</v>
      </c>
    </row>
    <row r="416" spans="2:22" ht="15" customHeight="1" x14ac:dyDescent="0.3">
      <c r="B416" s="22">
        <v>409</v>
      </c>
      <c r="C416" s="8" t="s">
        <v>15</v>
      </c>
      <c r="D416" s="8" t="s">
        <v>2447</v>
      </c>
      <c r="E416" s="8" t="s">
        <v>2448</v>
      </c>
      <c r="F416" s="8" t="s">
        <v>55</v>
      </c>
      <c r="G416" s="8" t="s">
        <v>2449</v>
      </c>
      <c r="H416" s="8" t="s">
        <v>2450</v>
      </c>
      <c r="I416" s="8" t="s">
        <v>51</v>
      </c>
      <c r="J416" s="42" t="s">
        <v>1458</v>
      </c>
      <c r="K416" s="8"/>
      <c r="L416" s="28">
        <v>800</v>
      </c>
      <c r="M416" s="28"/>
      <c r="N416" s="28">
        <f t="shared" si="8"/>
        <v>800</v>
      </c>
      <c r="O416" s="34"/>
      <c r="P416" s="8"/>
      <c r="Q416" s="8" t="s">
        <v>2451</v>
      </c>
      <c r="R416" s="8" t="s">
        <v>42</v>
      </c>
      <c r="S416" s="84" t="s">
        <v>2452</v>
      </c>
      <c r="T416" s="25"/>
      <c r="U416" s="8" t="s">
        <v>2453</v>
      </c>
      <c r="V416" s="8" t="s">
        <v>2454</v>
      </c>
    </row>
    <row r="417" spans="2:22" ht="15" customHeight="1" x14ac:dyDescent="0.3">
      <c r="B417" s="22">
        <v>410</v>
      </c>
      <c r="C417" s="8" t="s">
        <v>15</v>
      </c>
      <c r="D417" s="8" t="s">
        <v>2447</v>
      </c>
      <c r="E417" s="8" t="s">
        <v>2455</v>
      </c>
      <c r="F417" s="8" t="s">
        <v>55</v>
      </c>
      <c r="G417" s="8" t="s">
        <v>2449</v>
      </c>
      <c r="H417" s="8" t="s">
        <v>2450</v>
      </c>
      <c r="I417" s="8" t="s">
        <v>51</v>
      </c>
      <c r="J417" s="42" t="s">
        <v>2456</v>
      </c>
      <c r="K417" s="8"/>
      <c r="L417" s="28">
        <v>1000</v>
      </c>
      <c r="M417" s="28">
        <v>30</v>
      </c>
      <c r="N417" s="28">
        <f t="shared" si="8"/>
        <v>1030</v>
      </c>
      <c r="O417" s="34"/>
      <c r="P417" s="8"/>
      <c r="Q417" s="8" t="s">
        <v>2457</v>
      </c>
      <c r="R417" s="8"/>
      <c r="S417" s="84"/>
      <c r="T417" s="25"/>
      <c r="U417" s="8" t="s">
        <v>2453</v>
      </c>
      <c r="V417" s="8" t="s">
        <v>2454</v>
      </c>
    </row>
    <row r="418" spans="2:22" ht="15" customHeight="1" x14ac:dyDescent="0.3">
      <c r="B418" s="22">
        <v>411</v>
      </c>
      <c r="C418" s="8" t="s">
        <v>15</v>
      </c>
      <c r="D418" s="5" t="s">
        <v>2458</v>
      </c>
      <c r="E418" s="5" t="s">
        <v>2459</v>
      </c>
      <c r="F418" s="5" t="s">
        <v>243</v>
      </c>
      <c r="G418" s="5" t="s">
        <v>2460</v>
      </c>
      <c r="H418" s="5" t="s">
        <v>2461</v>
      </c>
      <c r="I418" s="5" t="s">
        <v>292</v>
      </c>
      <c r="J418" s="42" t="s">
        <v>2462</v>
      </c>
      <c r="K418" s="5">
        <v>30</v>
      </c>
      <c r="L418" s="19">
        <v>2180</v>
      </c>
      <c r="M418" s="19"/>
      <c r="N418" s="28">
        <f>SUM(K418:M418)</f>
        <v>2210</v>
      </c>
      <c r="O418" s="37"/>
      <c r="P418" s="5"/>
      <c r="Q418" s="5" t="s">
        <v>2463</v>
      </c>
      <c r="R418" s="5" t="s">
        <v>247</v>
      </c>
      <c r="S418" s="90" t="s">
        <v>2464</v>
      </c>
      <c r="T418" s="47" t="s">
        <v>378</v>
      </c>
      <c r="U418" s="5" t="s">
        <v>2465</v>
      </c>
      <c r="V418" s="5" t="s">
        <v>2466</v>
      </c>
    </row>
    <row r="419" spans="2:22" ht="15" customHeight="1" x14ac:dyDescent="0.3">
      <c r="B419" s="22">
        <v>412</v>
      </c>
      <c r="C419" s="8" t="s">
        <v>15</v>
      </c>
      <c r="D419" s="8" t="s">
        <v>2467</v>
      </c>
      <c r="E419" s="8" t="s">
        <v>2468</v>
      </c>
      <c r="F419" s="8" t="s">
        <v>95</v>
      </c>
      <c r="G419" s="8" t="s">
        <v>2469</v>
      </c>
      <c r="H419" s="8" t="s">
        <v>2470</v>
      </c>
      <c r="I419" s="8" t="s">
        <v>67</v>
      </c>
      <c r="J419" s="42" t="s">
        <v>1641</v>
      </c>
      <c r="K419" s="8"/>
      <c r="L419" s="28">
        <v>7</v>
      </c>
      <c r="M419" s="28"/>
      <c r="N419" s="28">
        <f t="shared" ref="N419:N454" si="9">SUM(K419:M419)</f>
        <v>7</v>
      </c>
      <c r="O419" s="34"/>
      <c r="P419" s="8"/>
      <c r="Q419" s="8" t="s">
        <v>2471</v>
      </c>
      <c r="R419" s="8" t="s">
        <v>1100</v>
      </c>
      <c r="S419" s="84" t="s">
        <v>2472</v>
      </c>
      <c r="T419" s="25"/>
      <c r="U419" s="8" t="s">
        <v>2473</v>
      </c>
      <c r="V419" s="8" t="s">
        <v>2474</v>
      </c>
    </row>
    <row r="420" spans="2:22" ht="15" customHeight="1" x14ac:dyDescent="0.3">
      <c r="B420" s="22">
        <v>413</v>
      </c>
      <c r="C420" s="8" t="s">
        <v>15</v>
      </c>
      <c r="D420" s="8" t="s">
        <v>2467</v>
      </c>
      <c r="E420" s="8" t="s">
        <v>2475</v>
      </c>
      <c r="F420" s="8" t="s">
        <v>50</v>
      </c>
      <c r="G420" s="8" t="s">
        <v>2476</v>
      </c>
      <c r="H420" s="8" t="s">
        <v>2477</v>
      </c>
      <c r="I420" s="8" t="s">
        <v>51</v>
      </c>
      <c r="J420" s="42" t="s">
        <v>2478</v>
      </c>
      <c r="K420" s="8"/>
      <c r="L420" s="28">
        <v>260</v>
      </c>
      <c r="M420" s="28"/>
      <c r="N420" s="28">
        <f t="shared" si="9"/>
        <v>260</v>
      </c>
      <c r="O420" s="34"/>
      <c r="P420" s="8"/>
      <c r="Q420" s="8" t="s">
        <v>2479</v>
      </c>
      <c r="R420" s="8" t="s">
        <v>162</v>
      </c>
      <c r="S420" s="84"/>
      <c r="T420" s="8"/>
      <c r="U420" s="8" t="s">
        <v>2480</v>
      </c>
      <c r="V420" s="8" t="s">
        <v>2481</v>
      </c>
    </row>
    <row r="421" spans="2:22" ht="15" customHeight="1" x14ac:dyDescent="0.3">
      <c r="B421" s="22">
        <v>414</v>
      </c>
      <c r="C421" s="8" t="s">
        <v>15</v>
      </c>
      <c r="D421" s="8" t="s">
        <v>2482</v>
      </c>
      <c r="E421" s="8" t="s">
        <v>2483</v>
      </c>
      <c r="F421" s="8" t="s">
        <v>2484</v>
      </c>
      <c r="G421" s="8" t="s">
        <v>2485</v>
      </c>
      <c r="H421" s="8" t="s">
        <v>2486</v>
      </c>
      <c r="I421" s="8" t="s">
        <v>51</v>
      </c>
      <c r="J421" s="42" t="s">
        <v>2487</v>
      </c>
      <c r="K421" s="8"/>
      <c r="L421" s="28">
        <v>35</v>
      </c>
      <c r="M421" s="28">
        <v>52</v>
      </c>
      <c r="N421" s="28">
        <f t="shared" si="9"/>
        <v>87</v>
      </c>
      <c r="O421" s="34"/>
      <c r="P421" s="8"/>
      <c r="Q421" s="8" t="s">
        <v>2488</v>
      </c>
      <c r="R421" s="8" t="s">
        <v>2489</v>
      </c>
      <c r="S421" s="84"/>
      <c r="T421" s="8"/>
      <c r="U421" s="8" t="s">
        <v>2490</v>
      </c>
      <c r="V421" s="8" t="s">
        <v>2491</v>
      </c>
    </row>
    <row r="422" spans="2:22" ht="15" customHeight="1" x14ac:dyDescent="0.3">
      <c r="B422" s="22">
        <v>415</v>
      </c>
      <c r="C422" s="8" t="s">
        <v>15</v>
      </c>
      <c r="D422" s="8" t="s">
        <v>2467</v>
      </c>
      <c r="E422" s="8" t="s">
        <v>2492</v>
      </c>
      <c r="F422" s="8" t="s">
        <v>95</v>
      </c>
      <c r="G422" s="8" t="s">
        <v>2493</v>
      </c>
      <c r="H422" s="8" t="s">
        <v>2494</v>
      </c>
      <c r="I422" s="8" t="s">
        <v>51</v>
      </c>
      <c r="J422" s="42" t="s">
        <v>2405</v>
      </c>
      <c r="K422" s="8"/>
      <c r="L422" s="28">
        <v>30</v>
      </c>
      <c r="M422" s="28"/>
      <c r="N422" s="28">
        <f t="shared" si="9"/>
        <v>30</v>
      </c>
      <c r="O422" s="34"/>
      <c r="P422" s="8"/>
      <c r="Q422" s="8" t="s">
        <v>2495</v>
      </c>
      <c r="R422" s="8" t="s">
        <v>2489</v>
      </c>
      <c r="S422" s="128"/>
      <c r="T422" s="14"/>
      <c r="U422" s="8" t="s">
        <v>2496</v>
      </c>
      <c r="V422" s="8" t="s">
        <v>2497</v>
      </c>
    </row>
    <row r="423" spans="2:22" ht="15" customHeight="1" x14ac:dyDescent="0.3">
      <c r="B423" s="22">
        <v>416</v>
      </c>
      <c r="C423" s="8" t="s">
        <v>15</v>
      </c>
      <c r="D423" s="8" t="s">
        <v>2467</v>
      </c>
      <c r="E423" s="8" t="s">
        <v>2498</v>
      </c>
      <c r="F423" s="8" t="s">
        <v>2499</v>
      </c>
      <c r="G423" s="8" t="s">
        <v>2500</v>
      </c>
      <c r="H423" s="8" t="s">
        <v>2501</v>
      </c>
      <c r="I423" s="8" t="s">
        <v>51</v>
      </c>
      <c r="J423" s="42" t="s">
        <v>2502</v>
      </c>
      <c r="K423" s="8"/>
      <c r="L423" s="28">
        <v>571</v>
      </c>
      <c r="M423" s="28" t="s">
        <v>422</v>
      </c>
      <c r="N423" s="28">
        <f t="shared" si="9"/>
        <v>571</v>
      </c>
      <c r="O423" s="45"/>
      <c r="P423" s="8"/>
      <c r="Q423" s="8" t="s">
        <v>2503</v>
      </c>
      <c r="R423" s="8" t="s">
        <v>162</v>
      </c>
      <c r="S423" s="84"/>
      <c r="T423" s="8"/>
      <c r="U423" s="8" t="s">
        <v>2504</v>
      </c>
      <c r="V423" s="8" t="s">
        <v>2505</v>
      </c>
    </row>
    <row r="424" spans="2:22" ht="15" customHeight="1" x14ac:dyDescent="0.3">
      <c r="B424" s="22">
        <v>417</v>
      </c>
      <c r="C424" s="8" t="s">
        <v>15</v>
      </c>
      <c r="D424" s="8" t="s">
        <v>2467</v>
      </c>
      <c r="E424" s="8" t="s">
        <v>2506</v>
      </c>
      <c r="F424" s="8" t="s">
        <v>2507</v>
      </c>
      <c r="G424" s="8" t="s">
        <v>2508</v>
      </c>
      <c r="H424" s="8" t="s">
        <v>2509</v>
      </c>
      <c r="I424" s="8" t="s">
        <v>67</v>
      </c>
      <c r="J424" s="42" t="s">
        <v>114</v>
      </c>
      <c r="K424" s="8"/>
      <c r="L424" s="28">
        <v>40</v>
      </c>
      <c r="M424" s="28"/>
      <c r="N424" s="28">
        <f t="shared" si="9"/>
        <v>40</v>
      </c>
      <c r="O424" s="45"/>
      <c r="P424" s="8"/>
      <c r="Q424" s="8" t="s">
        <v>853</v>
      </c>
      <c r="R424" s="8" t="s">
        <v>1259</v>
      </c>
      <c r="S424" s="84" t="s">
        <v>2472</v>
      </c>
      <c r="T424" s="8"/>
      <c r="U424" s="8" t="s">
        <v>2510</v>
      </c>
      <c r="V424" s="8" t="s">
        <v>2511</v>
      </c>
    </row>
    <row r="425" spans="2:22" ht="15" customHeight="1" x14ac:dyDescent="0.3">
      <c r="B425" s="22">
        <v>418</v>
      </c>
      <c r="C425" s="8" t="s">
        <v>15</v>
      </c>
      <c r="D425" s="8" t="s">
        <v>2467</v>
      </c>
      <c r="E425" s="8" t="s">
        <v>2512</v>
      </c>
      <c r="F425" s="8" t="s">
        <v>2513</v>
      </c>
      <c r="G425" s="8" t="s">
        <v>2514</v>
      </c>
      <c r="H425" s="8" t="s">
        <v>2515</v>
      </c>
      <c r="I425" s="8" t="s">
        <v>51</v>
      </c>
      <c r="J425" s="42" t="s">
        <v>114</v>
      </c>
      <c r="K425" s="49">
        <v>10</v>
      </c>
      <c r="L425" s="112">
        <v>10</v>
      </c>
      <c r="M425" s="112">
        <v>2</v>
      </c>
      <c r="N425" s="28">
        <f t="shared" si="9"/>
        <v>22</v>
      </c>
      <c r="O425" s="45"/>
      <c r="P425" s="49"/>
      <c r="Q425" s="8" t="s">
        <v>2516</v>
      </c>
      <c r="R425" s="8" t="s">
        <v>2517</v>
      </c>
      <c r="S425" s="84" t="s">
        <v>2518</v>
      </c>
      <c r="T425" s="8" t="s">
        <v>2519</v>
      </c>
      <c r="U425" s="8" t="s">
        <v>2520</v>
      </c>
      <c r="V425" s="8" t="s">
        <v>2521</v>
      </c>
    </row>
    <row r="426" spans="2:22" ht="15" customHeight="1" x14ac:dyDescent="0.3">
      <c r="B426" s="22">
        <v>419</v>
      </c>
      <c r="C426" s="8" t="s">
        <v>15</v>
      </c>
      <c r="D426" s="8" t="s">
        <v>2467</v>
      </c>
      <c r="E426" s="8" t="s">
        <v>2522</v>
      </c>
      <c r="F426" s="8" t="s">
        <v>95</v>
      </c>
      <c r="G426" s="8" t="s">
        <v>2523</v>
      </c>
      <c r="H426" s="8" t="s">
        <v>2524</v>
      </c>
      <c r="I426" s="8" t="s">
        <v>51</v>
      </c>
      <c r="J426" s="42">
        <v>2006</v>
      </c>
      <c r="K426" s="8"/>
      <c r="L426" s="28">
        <v>449</v>
      </c>
      <c r="M426" s="28"/>
      <c r="N426" s="28">
        <f t="shared" si="9"/>
        <v>449</v>
      </c>
      <c r="O426" s="45"/>
      <c r="P426" s="8"/>
      <c r="Q426" s="8" t="s">
        <v>2525</v>
      </c>
      <c r="R426" s="8" t="s">
        <v>2526</v>
      </c>
      <c r="S426" s="84"/>
      <c r="T426" s="8"/>
      <c r="U426" s="8" t="s">
        <v>2527</v>
      </c>
      <c r="V426" s="8" t="s">
        <v>2528</v>
      </c>
    </row>
    <row r="427" spans="2:22" ht="15" customHeight="1" x14ac:dyDescent="0.3">
      <c r="B427" s="22">
        <v>420</v>
      </c>
      <c r="C427" s="8" t="s">
        <v>15</v>
      </c>
      <c r="D427" s="8" t="s">
        <v>2467</v>
      </c>
      <c r="E427" s="8" t="s">
        <v>2529</v>
      </c>
      <c r="F427" s="8" t="s">
        <v>390</v>
      </c>
      <c r="G427" s="8" t="s">
        <v>2530</v>
      </c>
      <c r="H427" s="8" t="s">
        <v>2531</v>
      </c>
      <c r="I427" s="8" t="s">
        <v>51</v>
      </c>
      <c r="J427" s="42" t="s">
        <v>2487</v>
      </c>
      <c r="K427" s="8"/>
      <c r="L427" s="28">
        <v>52</v>
      </c>
      <c r="M427" s="28">
        <v>30</v>
      </c>
      <c r="N427" s="28">
        <f t="shared" si="9"/>
        <v>82</v>
      </c>
      <c r="O427" s="34"/>
      <c r="P427" s="8"/>
      <c r="Q427" s="8" t="s">
        <v>2532</v>
      </c>
      <c r="R427" s="8" t="s">
        <v>2533</v>
      </c>
      <c r="S427" s="84"/>
      <c r="T427" s="8"/>
      <c r="U427" s="8" t="s">
        <v>2534</v>
      </c>
      <c r="V427" s="8" t="s">
        <v>2535</v>
      </c>
    </row>
    <row r="428" spans="2:22" ht="15" customHeight="1" x14ac:dyDescent="0.3">
      <c r="B428" s="22">
        <v>421</v>
      </c>
      <c r="C428" s="8" t="s">
        <v>15</v>
      </c>
      <c r="D428" s="8" t="s">
        <v>2536</v>
      </c>
      <c r="E428" s="8" t="s">
        <v>2537</v>
      </c>
      <c r="F428" s="8" t="s">
        <v>95</v>
      </c>
      <c r="G428" s="8" t="s">
        <v>2538</v>
      </c>
      <c r="H428" s="8" t="s">
        <v>2539</v>
      </c>
      <c r="I428" s="8" t="s">
        <v>2540</v>
      </c>
      <c r="J428" s="42">
        <v>2007</v>
      </c>
      <c r="K428" s="8"/>
      <c r="L428" s="28">
        <v>225</v>
      </c>
      <c r="M428" s="28">
        <v>0</v>
      </c>
      <c r="N428" s="28">
        <f t="shared" si="9"/>
        <v>225</v>
      </c>
      <c r="O428" s="34"/>
      <c r="P428" s="8"/>
      <c r="Q428" s="8" t="s">
        <v>2541</v>
      </c>
      <c r="R428" s="8" t="s">
        <v>395</v>
      </c>
      <c r="S428" s="84" t="s">
        <v>2542</v>
      </c>
      <c r="T428" s="8"/>
      <c r="U428" s="8" t="s">
        <v>2543</v>
      </c>
      <c r="V428" s="8" t="s">
        <v>2544</v>
      </c>
    </row>
    <row r="429" spans="2:22" ht="15" customHeight="1" x14ac:dyDescent="0.3">
      <c r="B429" s="22">
        <v>422</v>
      </c>
      <c r="C429" s="8" t="s">
        <v>15</v>
      </c>
      <c r="D429" s="8" t="s">
        <v>2536</v>
      </c>
      <c r="E429" s="8" t="s">
        <v>2545</v>
      </c>
      <c r="F429" s="8" t="s">
        <v>390</v>
      </c>
      <c r="G429" s="8" t="s">
        <v>2538</v>
      </c>
      <c r="H429" s="8" t="s">
        <v>2546</v>
      </c>
      <c r="I429" s="8" t="s">
        <v>2540</v>
      </c>
      <c r="J429" s="42">
        <v>2006</v>
      </c>
      <c r="K429" s="8"/>
      <c r="L429" s="28">
        <v>5</v>
      </c>
      <c r="M429" s="28">
        <v>0</v>
      </c>
      <c r="N429" s="28">
        <f t="shared" si="9"/>
        <v>5</v>
      </c>
      <c r="O429" s="34"/>
      <c r="P429" s="8"/>
      <c r="Q429" s="8" t="s">
        <v>2547</v>
      </c>
      <c r="R429" s="8"/>
      <c r="S429" s="84"/>
      <c r="T429" s="8"/>
      <c r="U429" s="8" t="s">
        <v>2543</v>
      </c>
      <c r="V429" s="8" t="s">
        <v>2544</v>
      </c>
    </row>
    <row r="430" spans="2:22" ht="15" customHeight="1" x14ac:dyDescent="0.3">
      <c r="B430" s="22">
        <v>423</v>
      </c>
      <c r="C430" s="8" t="s">
        <v>15</v>
      </c>
      <c r="D430" s="8" t="s">
        <v>2536</v>
      </c>
      <c r="E430" s="8" t="s">
        <v>2548</v>
      </c>
      <c r="F430" s="8" t="s">
        <v>390</v>
      </c>
      <c r="G430" s="8" t="s">
        <v>2538</v>
      </c>
      <c r="H430" s="8" t="s">
        <v>2549</v>
      </c>
      <c r="I430" s="8" t="s">
        <v>422</v>
      </c>
      <c r="J430" s="42">
        <v>2015</v>
      </c>
      <c r="K430" s="8"/>
      <c r="L430" s="28">
        <v>5</v>
      </c>
      <c r="M430" s="28">
        <v>0</v>
      </c>
      <c r="N430" s="28">
        <f t="shared" si="9"/>
        <v>5</v>
      </c>
      <c r="O430" s="34"/>
      <c r="P430" s="8"/>
      <c r="Q430" s="8" t="s">
        <v>2550</v>
      </c>
      <c r="R430" s="8"/>
      <c r="S430" s="84"/>
      <c r="T430" s="8"/>
      <c r="U430" s="8" t="s">
        <v>2543</v>
      </c>
      <c r="V430" s="8" t="s">
        <v>2544</v>
      </c>
    </row>
    <row r="431" spans="2:22" ht="15" customHeight="1" x14ac:dyDescent="0.3">
      <c r="B431" s="22">
        <v>424</v>
      </c>
      <c r="C431" s="8" t="s">
        <v>15</v>
      </c>
      <c r="D431" s="8" t="s">
        <v>2536</v>
      </c>
      <c r="E431" s="8" t="s">
        <v>2551</v>
      </c>
      <c r="F431" s="8" t="s">
        <v>95</v>
      </c>
      <c r="G431" s="47" t="s">
        <v>2552</v>
      </c>
      <c r="H431" s="8" t="s">
        <v>2553</v>
      </c>
      <c r="I431" s="8" t="s">
        <v>51</v>
      </c>
      <c r="J431" s="42" t="s">
        <v>114</v>
      </c>
      <c r="K431" s="8"/>
      <c r="L431" s="28">
        <v>44</v>
      </c>
      <c r="M431" s="28">
        <v>0</v>
      </c>
      <c r="N431" s="28">
        <f t="shared" si="9"/>
        <v>44</v>
      </c>
      <c r="O431" s="48"/>
      <c r="P431" s="8"/>
      <c r="Q431" s="8"/>
      <c r="R431" s="8"/>
      <c r="S431" s="84"/>
      <c r="T431" s="8"/>
      <c r="U431" s="8" t="s">
        <v>2554</v>
      </c>
      <c r="V431" s="8" t="s">
        <v>2555</v>
      </c>
    </row>
    <row r="432" spans="2:22" ht="15" customHeight="1" x14ac:dyDescent="0.3">
      <c r="B432" s="22">
        <v>425</v>
      </c>
      <c r="C432" s="8" t="s">
        <v>15</v>
      </c>
      <c r="D432" s="8" t="s">
        <v>2536</v>
      </c>
      <c r="E432" s="8" t="s">
        <v>2556</v>
      </c>
      <c r="F432" s="8" t="s">
        <v>95</v>
      </c>
      <c r="G432" s="8" t="s">
        <v>2557</v>
      </c>
      <c r="H432" s="8" t="s">
        <v>2558</v>
      </c>
      <c r="I432" s="8" t="s">
        <v>51</v>
      </c>
      <c r="J432" s="42">
        <v>2008</v>
      </c>
      <c r="K432" s="8"/>
      <c r="L432" s="28">
        <v>22</v>
      </c>
      <c r="M432" s="28">
        <v>0</v>
      </c>
      <c r="N432" s="28">
        <f t="shared" si="9"/>
        <v>22</v>
      </c>
      <c r="O432" s="34"/>
      <c r="P432" s="8"/>
      <c r="Q432" s="8"/>
      <c r="R432" s="8"/>
      <c r="S432" s="84"/>
      <c r="T432" s="8"/>
      <c r="U432" s="8" t="s">
        <v>2559</v>
      </c>
      <c r="V432" s="8" t="s">
        <v>2560</v>
      </c>
    </row>
    <row r="433" spans="2:22" ht="15" customHeight="1" x14ac:dyDescent="0.3">
      <c r="B433" s="22">
        <v>426</v>
      </c>
      <c r="C433" s="8" t="s">
        <v>15</v>
      </c>
      <c r="D433" s="8" t="s">
        <v>2536</v>
      </c>
      <c r="E433" s="8" t="s">
        <v>2561</v>
      </c>
      <c r="F433" s="8" t="s">
        <v>86</v>
      </c>
      <c r="G433" s="8" t="s">
        <v>178</v>
      </c>
      <c r="H433" s="8" t="s">
        <v>2562</v>
      </c>
      <c r="I433" s="8" t="s">
        <v>51</v>
      </c>
      <c r="J433" s="42">
        <v>2015</v>
      </c>
      <c r="K433" s="8"/>
      <c r="L433" s="28">
        <v>400</v>
      </c>
      <c r="M433" s="28">
        <v>0</v>
      </c>
      <c r="N433" s="28">
        <f t="shared" si="9"/>
        <v>400</v>
      </c>
      <c r="O433" s="34"/>
      <c r="P433" s="8"/>
      <c r="Q433" s="8" t="s">
        <v>2563</v>
      </c>
      <c r="R433" s="8" t="s">
        <v>395</v>
      </c>
      <c r="S433" s="84" t="s">
        <v>2564</v>
      </c>
      <c r="T433" s="8"/>
      <c r="U433" s="8" t="s">
        <v>2565</v>
      </c>
      <c r="V433" s="8" t="s">
        <v>2566</v>
      </c>
    </row>
    <row r="434" spans="2:22" ht="15" customHeight="1" x14ac:dyDescent="0.3">
      <c r="B434" s="22">
        <v>427</v>
      </c>
      <c r="C434" s="8" t="s">
        <v>15</v>
      </c>
      <c r="D434" s="8" t="s">
        <v>2536</v>
      </c>
      <c r="E434" s="8" t="s">
        <v>2567</v>
      </c>
      <c r="F434" s="8" t="s">
        <v>50</v>
      </c>
      <c r="G434" s="8" t="s">
        <v>167</v>
      </c>
      <c r="H434" s="8" t="s">
        <v>2558</v>
      </c>
      <c r="I434" s="8" t="s">
        <v>51</v>
      </c>
      <c r="J434" s="42">
        <v>1986</v>
      </c>
      <c r="K434" s="8"/>
      <c r="L434" s="28">
        <v>605</v>
      </c>
      <c r="M434" s="28">
        <v>0</v>
      </c>
      <c r="N434" s="28">
        <f t="shared" si="9"/>
        <v>605</v>
      </c>
      <c r="O434" s="45"/>
      <c r="P434" s="8"/>
      <c r="Q434" s="8" t="s">
        <v>2568</v>
      </c>
      <c r="R434" s="8" t="s">
        <v>395</v>
      </c>
      <c r="S434" s="84" t="s">
        <v>2542</v>
      </c>
      <c r="T434" s="8"/>
      <c r="U434" s="8" t="s">
        <v>2569</v>
      </c>
      <c r="V434" s="8" t="s">
        <v>2570</v>
      </c>
    </row>
    <row r="435" spans="2:22" ht="15" customHeight="1" x14ac:dyDescent="0.3">
      <c r="B435" s="22">
        <v>428</v>
      </c>
      <c r="C435" s="8" t="s">
        <v>15</v>
      </c>
      <c r="D435" s="8" t="s">
        <v>2571</v>
      </c>
      <c r="E435" s="8" t="s">
        <v>2572</v>
      </c>
      <c r="F435" s="8" t="s">
        <v>2573</v>
      </c>
      <c r="G435" s="8" t="s">
        <v>167</v>
      </c>
      <c r="H435" s="8" t="s">
        <v>2574</v>
      </c>
      <c r="I435" s="8" t="s">
        <v>420</v>
      </c>
      <c r="J435" s="42">
        <v>2017</v>
      </c>
      <c r="K435" s="8"/>
      <c r="L435" s="28">
        <v>20</v>
      </c>
      <c r="M435" s="28">
        <v>0</v>
      </c>
      <c r="N435" s="28">
        <f t="shared" si="9"/>
        <v>20</v>
      </c>
      <c r="O435" s="45"/>
      <c r="P435" s="8"/>
      <c r="Q435" s="8" t="s">
        <v>2575</v>
      </c>
      <c r="R435" s="8"/>
      <c r="S435" s="84"/>
      <c r="T435" s="8"/>
      <c r="U435" s="8" t="s">
        <v>2576</v>
      </c>
      <c r="V435" s="8" t="s">
        <v>2577</v>
      </c>
    </row>
    <row r="436" spans="2:22" ht="15" customHeight="1" x14ac:dyDescent="0.3">
      <c r="B436" s="22">
        <v>429</v>
      </c>
      <c r="C436" s="8" t="s">
        <v>15</v>
      </c>
      <c r="D436" s="8" t="s">
        <v>2536</v>
      </c>
      <c r="E436" s="8" t="s">
        <v>2578</v>
      </c>
      <c r="F436" s="8" t="s">
        <v>95</v>
      </c>
      <c r="G436" s="8" t="s">
        <v>167</v>
      </c>
      <c r="H436" s="8" t="s">
        <v>422</v>
      </c>
      <c r="I436" s="8" t="s">
        <v>51</v>
      </c>
      <c r="J436" s="42">
        <v>2004</v>
      </c>
      <c r="K436" s="8"/>
      <c r="L436" s="28">
        <v>156</v>
      </c>
      <c r="M436" s="28">
        <v>0</v>
      </c>
      <c r="N436" s="28">
        <f t="shared" si="9"/>
        <v>156</v>
      </c>
      <c r="O436" s="45"/>
      <c r="P436" s="8"/>
      <c r="Q436" s="8"/>
      <c r="R436" s="8"/>
      <c r="S436" s="84"/>
      <c r="T436" s="8"/>
      <c r="U436" s="8" t="s">
        <v>2559</v>
      </c>
      <c r="V436" s="8" t="s">
        <v>2579</v>
      </c>
    </row>
    <row r="437" spans="2:22" ht="15" customHeight="1" x14ac:dyDescent="0.3">
      <c r="B437" s="22">
        <v>430</v>
      </c>
      <c r="C437" s="8" t="s">
        <v>15</v>
      </c>
      <c r="D437" s="8" t="s">
        <v>2536</v>
      </c>
      <c r="E437" s="8" t="s">
        <v>2580</v>
      </c>
      <c r="F437" s="8" t="s">
        <v>390</v>
      </c>
      <c r="G437" s="8" t="s">
        <v>167</v>
      </c>
      <c r="H437" s="8" t="s">
        <v>2546</v>
      </c>
      <c r="I437" s="8" t="s">
        <v>422</v>
      </c>
      <c r="J437" s="42">
        <v>2011</v>
      </c>
      <c r="K437" s="8"/>
      <c r="L437" s="28">
        <v>10</v>
      </c>
      <c r="M437" s="28">
        <v>0</v>
      </c>
      <c r="N437" s="28">
        <f t="shared" si="9"/>
        <v>10</v>
      </c>
      <c r="O437" s="45"/>
      <c r="P437" s="8"/>
      <c r="Q437" s="8" t="s">
        <v>2547</v>
      </c>
      <c r="R437" s="8"/>
      <c r="S437" s="84"/>
      <c r="T437" s="8"/>
      <c r="U437" s="8" t="s">
        <v>2543</v>
      </c>
      <c r="V437" s="8" t="s">
        <v>2577</v>
      </c>
    </row>
    <row r="438" spans="2:22" ht="15" customHeight="1" x14ac:dyDescent="0.3">
      <c r="B438" s="22">
        <v>431</v>
      </c>
      <c r="C438" s="8" t="s">
        <v>15</v>
      </c>
      <c r="D438" s="8" t="s">
        <v>2581</v>
      </c>
      <c r="E438" s="8" t="s">
        <v>2582</v>
      </c>
      <c r="F438" s="8" t="s">
        <v>390</v>
      </c>
      <c r="G438" s="8" t="s">
        <v>2583</v>
      </c>
      <c r="H438" s="8" t="s">
        <v>2584</v>
      </c>
      <c r="I438" s="8" t="s">
        <v>51</v>
      </c>
      <c r="J438" s="42" t="s">
        <v>1282</v>
      </c>
      <c r="K438" s="8"/>
      <c r="L438" s="28">
        <v>20</v>
      </c>
      <c r="M438" s="28"/>
      <c r="N438" s="28">
        <f t="shared" si="9"/>
        <v>20</v>
      </c>
      <c r="O438" s="45"/>
      <c r="P438" s="8"/>
      <c r="Q438" s="8" t="s">
        <v>2585</v>
      </c>
      <c r="R438" s="8" t="s">
        <v>2586</v>
      </c>
      <c r="S438" s="84"/>
      <c r="T438" s="8"/>
      <c r="U438" s="8" t="s">
        <v>2587</v>
      </c>
      <c r="V438" s="8" t="s">
        <v>2588</v>
      </c>
    </row>
    <row r="439" spans="2:22" ht="15" customHeight="1" x14ac:dyDescent="0.3">
      <c r="B439" s="22">
        <v>432</v>
      </c>
      <c r="C439" s="8" t="s">
        <v>15</v>
      </c>
      <c r="D439" s="5" t="s">
        <v>2581</v>
      </c>
      <c r="E439" s="5" t="s">
        <v>2589</v>
      </c>
      <c r="F439" s="5" t="s">
        <v>50</v>
      </c>
      <c r="G439" s="5" t="s">
        <v>2590</v>
      </c>
      <c r="H439" s="5" t="s">
        <v>2591</v>
      </c>
      <c r="I439" s="5" t="s">
        <v>51</v>
      </c>
      <c r="J439" s="42" t="s">
        <v>2592</v>
      </c>
      <c r="K439" s="5"/>
      <c r="L439" s="19">
        <v>845</v>
      </c>
      <c r="M439" s="19"/>
      <c r="N439" s="28">
        <f t="shared" si="9"/>
        <v>845</v>
      </c>
      <c r="O439" s="37"/>
      <c r="P439" s="5"/>
      <c r="Q439" s="5" t="s">
        <v>2593</v>
      </c>
      <c r="R439" s="5" t="s">
        <v>173</v>
      </c>
      <c r="S439" s="90" t="s">
        <v>2594</v>
      </c>
      <c r="T439" s="5"/>
      <c r="U439" s="5" t="s">
        <v>2595</v>
      </c>
      <c r="V439" s="5" t="s">
        <v>2596</v>
      </c>
    </row>
    <row r="440" spans="2:22" ht="15" customHeight="1" x14ac:dyDescent="0.3">
      <c r="B440" s="22">
        <v>433</v>
      </c>
      <c r="C440" s="8" t="s">
        <v>15</v>
      </c>
      <c r="D440" s="8" t="s">
        <v>2581</v>
      </c>
      <c r="E440" s="8" t="s">
        <v>2597</v>
      </c>
      <c r="F440" s="8" t="s">
        <v>95</v>
      </c>
      <c r="G440" s="8" t="s">
        <v>2598</v>
      </c>
      <c r="H440" s="8" t="s">
        <v>2599</v>
      </c>
      <c r="I440" s="8" t="s">
        <v>51</v>
      </c>
      <c r="J440" s="42" t="s">
        <v>1352</v>
      </c>
      <c r="K440" s="8"/>
      <c r="L440" s="28">
        <v>20</v>
      </c>
      <c r="M440" s="28"/>
      <c r="N440" s="28">
        <f t="shared" si="9"/>
        <v>20</v>
      </c>
      <c r="O440" s="34"/>
      <c r="P440" s="8"/>
      <c r="Q440" s="8" t="s">
        <v>2600</v>
      </c>
      <c r="R440" s="8" t="s">
        <v>2601</v>
      </c>
      <c r="S440" s="84"/>
      <c r="T440" s="8"/>
      <c r="U440" s="8" t="s">
        <v>2587</v>
      </c>
      <c r="V440" s="8" t="s">
        <v>2588</v>
      </c>
    </row>
    <row r="441" spans="2:22" ht="15" customHeight="1" x14ac:dyDescent="0.3">
      <c r="B441" s="22">
        <v>434</v>
      </c>
      <c r="C441" s="8" t="s">
        <v>15</v>
      </c>
      <c r="D441" s="8" t="s">
        <v>2581</v>
      </c>
      <c r="E441" s="8" t="s">
        <v>2602</v>
      </c>
      <c r="F441" s="8" t="s">
        <v>55</v>
      </c>
      <c r="G441" s="8" t="s">
        <v>560</v>
      </c>
      <c r="H441" s="8" t="s">
        <v>2603</v>
      </c>
      <c r="I441" s="8" t="s">
        <v>51</v>
      </c>
      <c r="J441" s="42" t="s">
        <v>1321</v>
      </c>
      <c r="K441" s="8"/>
      <c r="L441" s="28">
        <v>275</v>
      </c>
      <c r="M441" s="28"/>
      <c r="N441" s="28">
        <f t="shared" si="9"/>
        <v>275</v>
      </c>
      <c r="O441" s="34"/>
      <c r="P441" s="8"/>
      <c r="Q441" s="8"/>
      <c r="R441" s="8"/>
      <c r="S441" s="84"/>
      <c r="T441" s="8"/>
      <c r="U441" s="8" t="s">
        <v>2604</v>
      </c>
      <c r="V441" s="8" t="s">
        <v>2605</v>
      </c>
    </row>
    <row r="442" spans="2:22" ht="15" customHeight="1" x14ac:dyDescent="0.3">
      <c r="B442" s="22">
        <v>435</v>
      </c>
      <c r="C442" s="8" t="s">
        <v>15</v>
      </c>
      <c r="D442" s="5" t="s">
        <v>2606</v>
      </c>
      <c r="E442" s="5" t="s">
        <v>2607</v>
      </c>
      <c r="F442" s="5" t="s">
        <v>50</v>
      </c>
      <c r="G442" s="5" t="s">
        <v>2608</v>
      </c>
      <c r="H442" s="5" t="s">
        <v>2609</v>
      </c>
      <c r="I442" s="8" t="s">
        <v>51</v>
      </c>
      <c r="J442" s="42" t="s">
        <v>2456</v>
      </c>
      <c r="K442" s="5"/>
      <c r="L442" s="19">
        <v>500</v>
      </c>
      <c r="M442" s="19"/>
      <c r="N442" s="28">
        <f t="shared" si="9"/>
        <v>500</v>
      </c>
      <c r="O442" s="37"/>
      <c r="P442" s="5"/>
      <c r="Q442" s="5" t="s">
        <v>2610</v>
      </c>
      <c r="R442" s="5" t="s">
        <v>395</v>
      </c>
      <c r="S442" s="90" t="s">
        <v>2611</v>
      </c>
      <c r="T442" s="5"/>
      <c r="U442" s="5" t="s">
        <v>2612</v>
      </c>
      <c r="V442" s="5" t="s">
        <v>2613</v>
      </c>
    </row>
    <row r="443" spans="2:22" ht="15" customHeight="1" x14ac:dyDescent="0.3">
      <c r="B443" s="22">
        <v>436</v>
      </c>
      <c r="C443" s="8" t="s">
        <v>15</v>
      </c>
      <c r="D443" s="7" t="s">
        <v>2606</v>
      </c>
      <c r="E443" s="7" t="s">
        <v>2614</v>
      </c>
      <c r="F443" s="7" t="s">
        <v>390</v>
      </c>
      <c r="G443" s="7" t="s">
        <v>2608</v>
      </c>
      <c r="H443" s="7" t="s">
        <v>2615</v>
      </c>
      <c r="I443" s="8" t="s">
        <v>51</v>
      </c>
      <c r="J443" s="42" t="s">
        <v>2616</v>
      </c>
      <c r="K443" s="7"/>
      <c r="L443" s="98">
        <v>184</v>
      </c>
      <c r="M443" s="98"/>
      <c r="N443" s="28">
        <f t="shared" si="9"/>
        <v>184</v>
      </c>
      <c r="O443" s="113"/>
      <c r="P443" s="7"/>
      <c r="Q443" s="7" t="s">
        <v>2617</v>
      </c>
      <c r="R443" s="7" t="s">
        <v>395</v>
      </c>
      <c r="S443" s="127" t="s">
        <v>2618</v>
      </c>
      <c r="T443" s="7"/>
      <c r="U443" s="7" t="s">
        <v>2619</v>
      </c>
      <c r="V443" s="7" t="s">
        <v>2620</v>
      </c>
    </row>
    <row r="444" spans="2:22" ht="15" customHeight="1" x14ac:dyDescent="0.3">
      <c r="B444" s="22">
        <v>437</v>
      </c>
      <c r="C444" s="8" t="s">
        <v>15</v>
      </c>
      <c r="D444" s="49" t="s">
        <v>2606</v>
      </c>
      <c r="E444" s="49" t="s">
        <v>2621</v>
      </c>
      <c r="F444" s="49" t="s">
        <v>2622</v>
      </c>
      <c r="G444" s="49" t="s">
        <v>2623</v>
      </c>
      <c r="H444" s="49" t="s">
        <v>2624</v>
      </c>
      <c r="I444" s="8" t="s">
        <v>51</v>
      </c>
      <c r="J444" s="42" t="s">
        <v>114</v>
      </c>
      <c r="K444" s="49"/>
      <c r="L444" s="112">
        <v>54</v>
      </c>
      <c r="M444" s="112"/>
      <c r="N444" s="28">
        <f t="shared" si="9"/>
        <v>54</v>
      </c>
      <c r="O444" s="114"/>
      <c r="P444" s="49"/>
      <c r="Q444" s="49" t="s">
        <v>2625</v>
      </c>
      <c r="R444" s="49" t="s">
        <v>395</v>
      </c>
      <c r="S444" s="140"/>
      <c r="T444" s="49"/>
      <c r="U444" s="49" t="s">
        <v>2626</v>
      </c>
      <c r="V444" s="49" t="s">
        <v>2627</v>
      </c>
    </row>
    <row r="445" spans="2:22" ht="15" customHeight="1" x14ac:dyDescent="0.3">
      <c r="B445" s="22">
        <v>438</v>
      </c>
      <c r="C445" s="8" t="s">
        <v>15</v>
      </c>
      <c r="D445" s="8" t="s">
        <v>2628</v>
      </c>
      <c r="E445" s="49" t="s">
        <v>2629</v>
      </c>
      <c r="F445" s="8" t="s">
        <v>50</v>
      </c>
      <c r="G445" s="49" t="s">
        <v>2630</v>
      </c>
      <c r="H445" s="8" t="s">
        <v>2631</v>
      </c>
      <c r="I445" s="8" t="s">
        <v>51</v>
      </c>
      <c r="J445" s="42" t="s">
        <v>2632</v>
      </c>
      <c r="K445" s="8"/>
      <c r="L445" s="28">
        <v>140</v>
      </c>
      <c r="M445" s="28">
        <v>0</v>
      </c>
      <c r="N445" s="28">
        <f t="shared" si="9"/>
        <v>140</v>
      </c>
      <c r="O445" s="34"/>
      <c r="P445" s="8"/>
      <c r="Q445" s="8" t="s">
        <v>2633</v>
      </c>
      <c r="R445" s="8" t="s">
        <v>173</v>
      </c>
      <c r="S445" s="84" t="s">
        <v>2634</v>
      </c>
      <c r="T445" s="8"/>
      <c r="U445" s="8" t="s">
        <v>2635</v>
      </c>
      <c r="V445" s="8" t="s">
        <v>2636</v>
      </c>
    </row>
    <row r="446" spans="2:22" ht="15" customHeight="1" x14ac:dyDescent="0.3">
      <c r="B446" s="22">
        <v>439</v>
      </c>
      <c r="C446" s="8" t="s">
        <v>15</v>
      </c>
      <c r="D446" s="8" t="s">
        <v>2628</v>
      </c>
      <c r="E446" s="8" t="s">
        <v>2637</v>
      </c>
      <c r="F446" s="8" t="s">
        <v>95</v>
      </c>
      <c r="G446" s="8" t="s">
        <v>223</v>
      </c>
      <c r="H446" s="8" t="s">
        <v>2638</v>
      </c>
      <c r="I446" s="8" t="s">
        <v>51</v>
      </c>
      <c r="J446" s="42" t="s">
        <v>2502</v>
      </c>
      <c r="K446" s="8"/>
      <c r="L446" s="28">
        <v>120</v>
      </c>
      <c r="M446" s="28">
        <v>20</v>
      </c>
      <c r="N446" s="28">
        <f t="shared" si="9"/>
        <v>140</v>
      </c>
      <c r="O446" s="34"/>
      <c r="P446" s="8"/>
      <c r="Q446" s="8" t="s">
        <v>2639</v>
      </c>
      <c r="R446" s="8" t="s">
        <v>173</v>
      </c>
      <c r="S446" s="84" t="s">
        <v>2640</v>
      </c>
      <c r="T446" s="8"/>
      <c r="U446" s="8" t="s">
        <v>2641</v>
      </c>
      <c r="V446" s="8" t="s">
        <v>2642</v>
      </c>
    </row>
    <row r="447" spans="2:22" ht="15" customHeight="1" x14ac:dyDescent="0.3">
      <c r="B447" s="22">
        <v>440</v>
      </c>
      <c r="C447" s="8" t="s">
        <v>15</v>
      </c>
      <c r="D447" s="8" t="s">
        <v>2628</v>
      </c>
      <c r="E447" s="8" t="s">
        <v>2643</v>
      </c>
      <c r="F447" s="8" t="s">
        <v>95</v>
      </c>
      <c r="G447" s="8" t="s">
        <v>1059</v>
      </c>
      <c r="H447" s="8" t="s">
        <v>2644</v>
      </c>
      <c r="I447" s="8" t="s">
        <v>51</v>
      </c>
      <c r="J447" s="42" t="s">
        <v>1548</v>
      </c>
      <c r="K447" s="8"/>
      <c r="L447" s="28">
        <v>450</v>
      </c>
      <c r="M447" s="28">
        <v>0</v>
      </c>
      <c r="N447" s="28">
        <f t="shared" si="9"/>
        <v>450</v>
      </c>
      <c r="O447" s="34"/>
      <c r="P447" s="8"/>
      <c r="Q447" s="8" t="s">
        <v>2645</v>
      </c>
      <c r="R447" s="8" t="s">
        <v>173</v>
      </c>
      <c r="S447" s="84" t="s">
        <v>2640</v>
      </c>
      <c r="T447" s="8"/>
      <c r="U447" s="8" t="s">
        <v>2646</v>
      </c>
      <c r="V447" s="8" t="s">
        <v>2647</v>
      </c>
    </row>
    <row r="448" spans="2:22" ht="15" customHeight="1" x14ac:dyDescent="0.3">
      <c r="B448" s="22">
        <v>441</v>
      </c>
      <c r="C448" s="8" t="s">
        <v>15</v>
      </c>
      <c r="D448" s="8" t="s">
        <v>2628</v>
      </c>
      <c r="E448" s="8" t="s">
        <v>2648</v>
      </c>
      <c r="F448" s="8" t="s">
        <v>50</v>
      </c>
      <c r="G448" s="8" t="s">
        <v>857</v>
      </c>
      <c r="H448" s="8" t="s">
        <v>2649</v>
      </c>
      <c r="I448" s="8" t="s">
        <v>51</v>
      </c>
      <c r="J448" s="42" t="s">
        <v>1321</v>
      </c>
      <c r="K448" s="25">
        <v>80</v>
      </c>
      <c r="L448" s="28">
        <v>120</v>
      </c>
      <c r="M448" s="28">
        <v>0</v>
      </c>
      <c r="N448" s="28">
        <f t="shared" si="9"/>
        <v>200</v>
      </c>
      <c r="O448" s="34"/>
      <c r="P448" s="8"/>
      <c r="Q448" s="8" t="s">
        <v>2650</v>
      </c>
      <c r="R448" s="8" t="s">
        <v>888</v>
      </c>
      <c r="S448" s="84" t="s">
        <v>2634</v>
      </c>
      <c r="T448" s="8" t="s">
        <v>1418</v>
      </c>
      <c r="U448" s="8" t="s">
        <v>2635</v>
      </c>
      <c r="V448" s="8" t="s">
        <v>2636</v>
      </c>
    </row>
    <row r="449" spans="2:22" ht="15" customHeight="1" x14ac:dyDescent="0.3">
      <c r="B449" s="22">
        <v>442</v>
      </c>
      <c r="C449" s="8" t="s">
        <v>15</v>
      </c>
      <c r="D449" s="8" t="s">
        <v>2628</v>
      </c>
      <c r="E449" s="8" t="s">
        <v>2651</v>
      </c>
      <c r="F449" s="8" t="s">
        <v>390</v>
      </c>
      <c r="G449" s="8" t="s">
        <v>193</v>
      </c>
      <c r="H449" s="8" t="s">
        <v>2652</v>
      </c>
      <c r="I449" s="8" t="s">
        <v>51</v>
      </c>
      <c r="J449" s="42" t="s">
        <v>1321</v>
      </c>
      <c r="K449" s="8"/>
      <c r="L449" s="28">
        <v>400</v>
      </c>
      <c r="M449" s="28">
        <v>0</v>
      </c>
      <c r="N449" s="28">
        <f t="shared" si="9"/>
        <v>400</v>
      </c>
      <c r="O449" s="34"/>
      <c r="P449" s="8"/>
      <c r="Q449" s="8" t="s">
        <v>2628</v>
      </c>
      <c r="R449" s="8" t="s">
        <v>2653</v>
      </c>
      <c r="S449" s="84" t="s">
        <v>2640</v>
      </c>
      <c r="T449" s="8"/>
      <c r="U449" s="8" t="s">
        <v>2654</v>
      </c>
      <c r="V449" s="8" t="s">
        <v>2655</v>
      </c>
    </row>
    <row r="450" spans="2:22" ht="15" customHeight="1" x14ac:dyDescent="0.3">
      <c r="B450" s="22">
        <v>443</v>
      </c>
      <c r="C450" s="8" t="s">
        <v>15</v>
      </c>
      <c r="D450" s="8" t="s">
        <v>2628</v>
      </c>
      <c r="E450" s="8" t="s">
        <v>2656</v>
      </c>
      <c r="F450" s="8" t="s">
        <v>50</v>
      </c>
      <c r="G450" s="8" t="s">
        <v>440</v>
      </c>
      <c r="H450" s="8" t="s">
        <v>2649</v>
      </c>
      <c r="I450" s="8" t="s">
        <v>51</v>
      </c>
      <c r="J450" s="42" t="s">
        <v>2657</v>
      </c>
      <c r="K450" s="8"/>
      <c r="L450" s="28">
        <v>260</v>
      </c>
      <c r="M450" s="28">
        <v>0</v>
      </c>
      <c r="N450" s="28">
        <f t="shared" si="9"/>
        <v>260</v>
      </c>
      <c r="O450" s="34"/>
      <c r="P450" s="8"/>
      <c r="Q450" s="8" t="s">
        <v>2658</v>
      </c>
      <c r="R450" s="8" t="s">
        <v>173</v>
      </c>
      <c r="S450" s="84" t="s">
        <v>2634</v>
      </c>
      <c r="T450" s="8"/>
      <c r="U450" s="8" t="s">
        <v>2635</v>
      </c>
      <c r="V450" s="8" t="s">
        <v>2636</v>
      </c>
    </row>
    <row r="451" spans="2:22" ht="15" customHeight="1" x14ac:dyDescent="0.3">
      <c r="B451" s="22">
        <v>444</v>
      </c>
      <c r="C451" s="8" t="s">
        <v>15</v>
      </c>
      <c r="D451" s="8" t="s">
        <v>2194</v>
      </c>
      <c r="E451" s="8" t="s">
        <v>2659</v>
      </c>
      <c r="F451" s="8" t="s">
        <v>992</v>
      </c>
      <c r="G451" s="8" t="s">
        <v>422</v>
      </c>
      <c r="H451" s="8" t="s">
        <v>2660</v>
      </c>
      <c r="I451" s="8" t="s">
        <v>51</v>
      </c>
      <c r="J451" s="42">
        <v>2021</v>
      </c>
      <c r="K451" s="8"/>
      <c r="L451" s="28">
        <v>50</v>
      </c>
      <c r="M451" s="28">
        <v>0</v>
      </c>
      <c r="N451" s="28">
        <f t="shared" si="9"/>
        <v>50</v>
      </c>
      <c r="O451" s="34"/>
      <c r="P451" s="8"/>
      <c r="Q451" s="8" t="s">
        <v>2661</v>
      </c>
      <c r="R451" s="8" t="s">
        <v>395</v>
      </c>
      <c r="S451" s="84"/>
      <c r="T451" s="8"/>
      <c r="U451" s="8" t="s">
        <v>2662</v>
      </c>
      <c r="V451" s="8" t="s">
        <v>2663</v>
      </c>
    </row>
    <row r="452" spans="2:22" ht="15" customHeight="1" x14ac:dyDescent="0.3">
      <c r="B452" s="22">
        <v>445</v>
      </c>
      <c r="C452" s="8" t="s">
        <v>15</v>
      </c>
      <c r="D452" s="8" t="s">
        <v>2664</v>
      </c>
      <c r="E452" s="8" t="s">
        <v>2665</v>
      </c>
      <c r="F452" s="8" t="s">
        <v>259</v>
      </c>
      <c r="G452" s="8" t="s">
        <v>422</v>
      </c>
      <c r="H452" s="8" t="s">
        <v>2666</v>
      </c>
      <c r="I452" s="8" t="s">
        <v>235</v>
      </c>
      <c r="J452" s="42">
        <v>1998</v>
      </c>
      <c r="K452" s="8"/>
      <c r="L452" s="28">
        <v>50</v>
      </c>
      <c r="M452" s="28">
        <v>0</v>
      </c>
      <c r="N452" s="28">
        <f t="shared" si="9"/>
        <v>50</v>
      </c>
      <c r="O452" s="34"/>
      <c r="P452" s="8"/>
      <c r="Q452" s="8" t="s">
        <v>2667</v>
      </c>
      <c r="R452" s="8" t="s">
        <v>357</v>
      </c>
      <c r="S452" s="84"/>
      <c r="T452" s="8"/>
      <c r="U452" s="8" t="s">
        <v>2668</v>
      </c>
      <c r="V452" s="8" t="s">
        <v>2669</v>
      </c>
    </row>
    <row r="453" spans="2:22" ht="15" customHeight="1" x14ac:dyDescent="0.3">
      <c r="B453" s="22">
        <v>446</v>
      </c>
      <c r="C453" s="8" t="s">
        <v>15</v>
      </c>
      <c r="D453" s="8" t="s">
        <v>2664</v>
      </c>
      <c r="E453" s="8" t="s">
        <v>2670</v>
      </c>
      <c r="F453" s="8" t="s">
        <v>55</v>
      </c>
      <c r="G453" s="8" t="s">
        <v>422</v>
      </c>
      <c r="H453" s="8" t="s">
        <v>2671</v>
      </c>
      <c r="I453" s="8" t="s">
        <v>235</v>
      </c>
      <c r="J453" s="42">
        <v>1959</v>
      </c>
      <c r="K453" s="8"/>
      <c r="L453" s="28">
        <v>220</v>
      </c>
      <c r="M453" s="28">
        <v>0</v>
      </c>
      <c r="N453" s="28">
        <f t="shared" si="9"/>
        <v>220</v>
      </c>
      <c r="O453" s="34"/>
      <c r="P453" s="8"/>
      <c r="Q453" s="47" t="s">
        <v>2672</v>
      </c>
      <c r="R453" s="47" t="s">
        <v>2673</v>
      </c>
      <c r="S453" s="84"/>
      <c r="T453" s="8"/>
      <c r="U453" s="8" t="s">
        <v>2674</v>
      </c>
      <c r="V453" s="8" t="s">
        <v>2675</v>
      </c>
    </row>
    <row r="454" spans="2:22" ht="15" customHeight="1" x14ac:dyDescent="0.3">
      <c r="B454" s="22">
        <v>447</v>
      </c>
      <c r="C454" s="8" t="s">
        <v>15</v>
      </c>
      <c r="D454" s="8" t="s">
        <v>2664</v>
      </c>
      <c r="E454" s="8" t="s">
        <v>2676</v>
      </c>
      <c r="F454" s="8" t="s">
        <v>992</v>
      </c>
      <c r="G454" s="8" t="s">
        <v>422</v>
      </c>
      <c r="H454" s="8" t="s">
        <v>422</v>
      </c>
      <c r="I454" s="8" t="s">
        <v>235</v>
      </c>
      <c r="J454" s="42">
        <v>2017</v>
      </c>
      <c r="K454" s="8"/>
      <c r="L454" s="28">
        <v>75</v>
      </c>
      <c r="M454" s="28">
        <v>0</v>
      </c>
      <c r="N454" s="28">
        <f t="shared" si="9"/>
        <v>75</v>
      </c>
      <c r="O454" s="34"/>
      <c r="P454" s="8"/>
      <c r="Q454" s="47" t="s">
        <v>2677</v>
      </c>
      <c r="R454" s="47" t="s">
        <v>2678</v>
      </c>
      <c r="S454" s="84"/>
      <c r="T454" s="8"/>
      <c r="U454" s="8" t="s">
        <v>2679</v>
      </c>
      <c r="V454" s="8" t="s">
        <v>2680</v>
      </c>
    </row>
    <row r="455" spans="2:22" ht="15" customHeight="1" x14ac:dyDescent="0.3">
      <c r="B455" s="22">
        <v>448</v>
      </c>
      <c r="C455" s="8" t="s">
        <v>15</v>
      </c>
      <c r="D455" s="8" t="s">
        <v>2664</v>
      </c>
      <c r="E455" s="8" t="s">
        <v>2681</v>
      </c>
      <c r="F455" s="8" t="s">
        <v>106</v>
      </c>
      <c r="G455" s="8" t="s">
        <v>422</v>
      </c>
      <c r="H455" s="8" t="s">
        <v>2682</v>
      </c>
      <c r="I455" s="8" t="s">
        <v>235</v>
      </c>
      <c r="J455" s="42">
        <v>2014</v>
      </c>
      <c r="K455" s="25"/>
      <c r="L455" s="46" t="s">
        <v>422</v>
      </c>
      <c r="M455" s="46"/>
      <c r="N455" s="46"/>
      <c r="O455" s="34"/>
      <c r="P455" s="8"/>
      <c r="Q455" s="47" t="s">
        <v>2683</v>
      </c>
      <c r="R455" s="47" t="s">
        <v>2678</v>
      </c>
      <c r="S455" s="84"/>
      <c r="T455" s="8"/>
      <c r="U455" s="8" t="s">
        <v>2684</v>
      </c>
      <c r="V455" s="8" t="s">
        <v>2685</v>
      </c>
    </row>
    <row r="456" spans="2:22" ht="15" customHeight="1" x14ac:dyDescent="0.3">
      <c r="B456" s="22">
        <v>449</v>
      </c>
      <c r="C456" s="8" t="s">
        <v>15</v>
      </c>
      <c r="D456" s="8" t="s">
        <v>2664</v>
      </c>
      <c r="E456" s="8" t="s">
        <v>2686</v>
      </c>
      <c r="F456" s="8" t="s">
        <v>55</v>
      </c>
      <c r="G456" s="8" t="s">
        <v>422</v>
      </c>
      <c r="H456" s="8" t="s">
        <v>2671</v>
      </c>
      <c r="I456" s="8" t="s">
        <v>235</v>
      </c>
      <c r="J456" s="42">
        <v>2020</v>
      </c>
      <c r="K456" s="25"/>
      <c r="L456" s="46" t="s">
        <v>422</v>
      </c>
      <c r="M456" s="46"/>
      <c r="N456" s="46"/>
      <c r="O456" s="34"/>
      <c r="P456" s="8"/>
      <c r="Q456" s="25" t="s">
        <v>2687</v>
      </c>
      <c r="R456" s="47" t="s">
        <v>2673</v>
      </c>
      <c r="S456" s="84"/>
      <c r="T456" s="8"/>
      <c r="U456" s="8" t="s">
        <v>2688</v>
      </c>
      <c r="V456" s="8" t="s">
        <v>2689</v>
      </c>
    </row>
    <row r="457" spans="2:22" ht="15" customHeight="1" x14ac:dyDescent="0.3">
      <c r="B457" s="22">
        <v>450</v>
      </c>
      <c r="C457" s="8" t="s">
        <v>15</v>
      </c>
      <c r="D457" s="8" t="s">
        <v>2664</v>
      </c>
      <c r="E457" s="8" t="s">
        <v>2690</v>
      </c>
      <c r="F457" s="8" t="s">
        <v>95</v>
      </c>
      <c r="G457" s="8" t="s">
        <v>422</v>
      </c>
      <c r="H457" s="8" t="s">
        <v>2691</v>
      </c>
      <c r="I457" s="8" t="s">
        <v>235</v>
      </c>
      <c r="J457" s="42">
        <v>2018</v>
      </c>
      <c r="K457" s="25"/>
      <c r="L457" s="46" t="s">
        <v>422</v>
      </c>
      <c r="M457" s="46"/>
      <c r="N457" s="46"/>
      <c r="O457" s="34"/>
      <c r="P457" s="8"/>
      <c r="Q457" s="50" t="s">
        <v>2692</v>
      </c>
      <c r="R457" s="47" t="s">
        <v>2693</v>
      </c>
      <c r="S457" s="84"/>
      <c r="T457" s="8"/>
      <c r="U457" s="8" t="s">
        <v>2688</v>
      </c>
      <c r="V457" s="8" t="s">
        <v>2689</v>
      </c>
    </row>
    <row r="458" spans="2:22" ht="15" customHeight="1" x14ac:dyDescent="0.3">
      <c r="B458" s="22">
        <v>451</v>
      </c>
      <c r="C458" s="8" t="s">
        <v>15</v>
      </c>
      <c r="D458" s="8" t="s">
        <v>2664</v>
      </c>
      <c r="E458" s="8" t="s">
        <v>2694</v>
      </c>
      <c r="F458" s="8" t="s">
        <v>95</v>
      </c>
      <c r="G458" s="8" t="s">
        <v>422</v>
      </c>
      <c r="H458" s="8" t="s">
        <v>2695</v>
      </c>
      <c r="I458" s="8" t="s">
        <v>235</v>
      </c>
      <c r="J458" s="42">
        <v>2020</v>
      </c>
      <c r="K458" s="25"/>
      <c r="L458" s="46" t="s">
        <v>422</v>
      </c>
      <c r="M458" s="46"/>
      <c r="N458" s="46"/>
      <c r="O458" s="34"/>
      <c r="P458" s="8"/>
      <c r="Q458" s="7" t="s">
        <v>2696</v>
      </c>
      <c r="R458" s="47" t="s">
        <v>2673</v>
      </c>
      <c r="S458" s="84"/>
      <c r="T458" s="8"/>
      <c r="U458" s="8" t="s">
        <v>2697</v>
      </c>
      <c r="V458" s="8" t="s">
        <v>2698</v>
      </c>
    </row>
    <row r="459" spans="2:22" ht="15" customHeight="1" x14ac:dyDescent="0.3">
      <c r="B459" s="22">
        <v>452</v>
      </c>
      <c r="C459" s="8" t="s">
        <v>15</v>
      </c>
      <c r="D459" s="8" t="s">
        <v>2664</v>
      </c>
      <c r="E459" s="8" t="s">
        <v>2699</v>
      </c>
      <c r="F459" s="8" t="s">
        <v>95</v>
      </c>
      <c r="G459" s="8" t="s">
        <v>422</v>
      </c>
      <c r="H459" s="8" t="s">
        <v>2700</v>
      </c>
      <c r="I459" s="8" t="s">
        <v>235</v>
      </c>
      <c r="J459" s="42">
        <v>2021</v>
      </c>
      <c r="K459" s="25"/>
      <c r="L459" s="46" t="s">
        <v>422</v>
      </c>
      <c r="M459" s="46"/>
      <c r="N459" s="46"/>
      <c r="O459" s="34"/>
      <c r="P459" s="8"/>
      <c r="Q459" s="7" t="s">
        <v>2701</v>
      </c>
      <c r="R459" s="47" t="s">
        <v>2693</v>
      </c>
      <c r="S459" s="84"/>
      <c r="T459" s="8"/>
      <c r="U459" s="8" t="s">
        <v>2688</v>
      </c>
      <c r="V459" s="8" t="s">
        <v>2689</v>
      </c>
    </row>
    <row r="460" spans="2:22" ht="15" customHeight="1" x14ac:dyDescent="0.3">
      <c r="B460" s="22">
        <v>453</v>
      </c>
      <c r="C460" s="8" t="s">
        <v>15</v>
      </c>
      <c r="D460" s="8" t="s">
        <v>2664</v>
      </c>
      <c r="E460" s="8" t="s">
        <v>2702</v>
      </c>
      <c r="F460" s="8" t="s">
        <v>55</v>
      </c>
      <c r="G460" s="8" t="s">
        <v>422</v>
      </c>
      <c r="H460" s="8" t="s">
        <v>2703</v>
      </c>
      <c r="I460" s="8" t="s">
        <v>235</v>
      </c>
      <c r="J460" s="42">
        <v>2017</v>
      </c>
      <c r="K460" s="25"/>
      <c r="L460" s="46" t="s">
        <v>422</v>
      </c>
      <c r="M460" s="46"/>
      <c r="N460" s="46"/>
      <c r="O460" s="34"/>
      <c r="P460" s="8"/>
      <c r="Q460" s="47" t="s">
        <v>2704</v>
      </c>
      <c r="R460" s="47" t="s">
        <v>2673</v>
      </c>
      <c r="S460" s="84"/>
      <c r="T460" s="8"/>
      <c r="U460" s="8" t="s">
        <v>2688</v>
      </c>
      <c r="V460" s="8" t="s">
        <v>2689</v>
      </c>
    </row>
    <row r="461" spans="2:22" ht="15" customHeight="1" x14ac:dyDescent="0.3">
      <c r="B461" s="22">
        <v>454</v>
      </c>
      <c r="C461" s="8" t="s">
        <v>15</v>
      </c>
      <c r="D461" s="8" t="s">
        <v>2705</v>
      </c>
      <c r="E461" s="8" t="s">
        <v>2706</v>
      </c>
      <c r="F461" s="8" t="s">
        <v>95</v>
      </c>
      <c r="G461" s="8" t="s">
        <v>223</v>
      </c>
      <c r="H461" s="8" t="s">
        <v>2707</v>
      </c>
      <c r="I461" s="8" t="s">
        <v>51</v>
      </c>
      <c r="J461" s="42">
        <v>2016</v>
      </c>
      <c r="K461" s="25"/>
      <c r="L461" s="46">
        <v>5.7</v>
      </c>
      <c r="M461" s="46"/>
      <c r="N461" s="28">
        <f t="shared" ref="N461:N501" si="10">SUM(K461:M461)</f>
        <v>5.7</v>
      </c>
      <c r="O461" s="34"/>
      <c r="P461" s="8"/>
      <c r="Q461" s="8" t="s">
        <v>2708</v>
      </c>
      <c r="R461" s="8" t="s">
        <v>395</v>
      </c>
      <c r="S461" s="84"/>
      <c r="T461" s="8"/>
      <c r="U461" s="8" t="s">
        <v>2709</v>
      </c>
      <c r="V461" s="8" t="s">
        <v>2710</v>
      </c>
    </row>
    <row r="462" spans="2:22" ht="15" customHeight="1" x14ac:dyDescent="0.3">
      <c r="B462" s="22">
        <v>455</v>
      </c>
      <c r="C462" s="8" t="s">
        <v>15</v>
      </c>
      <c r="D462" s="8" t="s">
        <v>2705</v>
      </c>
      <c r="E462" s="8" t="s">
        <v>2711</v>
      </c>
      <c r="F462" s="8" t="s">
        <v>390</v>
      </c>
      <c r="G462" s="8" t="s">
        <v>857</v>
      </c>
      <c r="H462" s="8" t="s">
        <v>2712</v>
      </c>
      <c r="I462" s="8" t="s">
        <v>51</v>
      </c>
      <c r="J462" s="42">
        <v>2001</v>
      </c>
      <c r="K462" s="25"/>
      <c r="L462" s="46">
        <v>150</v>
      </c>
      <c r="M462" s="46"/>
      <c r="N462" s="28">
        <f t="shared" si="10"/>
        <v>150</v>
      </c>
      <c r="O462" s="34"/>
      <c r="P462" s="8"/>
      <c r="Q462" s="8" t="s">
        <v>422</v>
      </c>
      <c r="R462" s="8"/>
      <c r="S462" s="84"/>
      <c r="T462" s="8"/>
      <c r="U462" s="8" t="s">
        <v>2709</v>
      </c>
      <c r="V462" s="8" t="s">
        <v>2710</v>
      </c>
    </row>
    <row r="463" spans="2:22" ht="15" customHeight="1" x14ac:dyDescent="0.3">
      <c r="B463" s="22">
        <v>456</v>
      </c>
      <c r="C463" s="8" t="s">
        <v>15</v>
      </c>
      <c r="D463" s="8" t="s">
        <v>2705</v>
      </c>
      <c r="E463" s="8" t="s">
        <v>2713</v>
      </c>
      <c r="F463" s="8" t="s">
        <v>390</v>
      </c>
      <c r="G463" s="8" t="s">
        <v>220</v>
      </c>
      <c r="H463" s="8" t="s">
        <v>2714</v>
      </c>
      <c r="I463" s="8" t="s">
        <v>51</v>
      </c>
      <c r="J463" s="42">
        <v>2017</v>
      </c>
      <c r="K463" s="8"/>
      <c r="L463" s="28">
        <v>85</v>
      </c>
      <c r="M463" s="28"/>
      <c r="N463" s="28">
        <f t="shared" si="10"/>
        <v>85</v>
      </c>
      <c r="O463" s="34"/>
      <c r="P463" s="8"/>
      <c r="Q463" s="8" t="s">
        <v>2715</v>
      </c>
      <c r="R463" s="8" t="s">
        <v>395</v>
      </c>
      <c r="S463" s="84"/>
      <c r="T463" s="8"/>
      <c r="U463" s="8" t="s">
        <v>2709</v>
      </c>
      <c r="V463" s="8" t="s">
        <v>2710</v>
      </c>
    </row>
    <row r="464" spans="2:22" ht="15" customHeight="1" x14ac:dyDescent="0.3">
      <c r="B464" s="22">
        <v>457</v>
      </c>
      <c r="C464" s="8" t="s">
        <v>15</v>
      </c>
      <c r="D464" s="8" t="s">
        <v>2705</v>
      </c>
      <c r="E464" s="8" t="s">
        <v>2716</v>
      </c>
      <c r="F464" s="8" t="s">
        <v>390</v>
      </c>
      <c r="G464" s="8" t="s">
        <v>857</v>
      </c>
      <c r="H464" s="8" t="s">
        <v>2717</v>
      </c>
      <c r="I464" s="8" t="s">
        <v>51</v>
      </c>
      <c r="J464" s="42">
        <v>2005</v>
      </c>
      <c r="K464" s="8"/>
      <c r="L464" s="28">
        <v>600</v>
      </c>
      <c r="M464" s="28"/>
      <c r="N464" s="28">
        <f t="shared" si="10"/>
        <v>600</v>
      </c>
      <c r="O464" s="34"/>
      <c r="P464" s="8"/>
      <c r="Q464" s="8" t="s">
        <v>2718</v>
      </c>
      <c r="R464" s="8" t="s">
        <v>395</v>
      </c>
      <c r="S464" s="84"/>
      <c r="T464" s="8"/>
      <c r="U464" s="8" t="s">
        <v>2709</v>
      </c>
      <c r="V464" s="8" t="s">
        <v>2710</v>
      </c>
    </row>
    <row r="465" spans="2:22" ht="15" customHeight="1" x14ac:dyDescent="0.3">
      <c r="B465" s="22">
        <v>458</v>
      </c>
      <c r="C465" s="8" t="s">
        <v>15</v>
      </c>
      <c r="D465" s="8" t="s">
        <v>2705</v>
      </c>
      <c r="E465" s="8" t="s">
        <v>2719</v>
      </c>
      <c r="F465" s="8" t="s">
        <v>55</v>
      </c>
      <c r="G465" s="8" t="s">
        <v>539</v>
      </c>
      <c r="H465" s="8" t="s">
        <v>2720</v>
      </c>
      <c r="I465" s="8" t="s">
        <v>51</v>
      </c>
      <c r="J465" s="42">
        <v>2002</v>
      </c>
      <c r="K465" s="8"/>
      <c r="L465" s="28">
        <v>95</v>
      </c>
      <c r="M465" s="28"/>
      <c r="N465" s="28">
        <f t="shared" si="10"/>
        <v>95</v>
      </c>
      <c r="O465" s="34"/>
      <c r="P465" s="8"/>
      <c r="Q465" s="8" t="s">
        <v>2721</v>
      </c>
      <c r="R465" s="8" t="s">
        <v>395</v>
      </c>
      <c r="S465" s="84"/>
      <c r="T465" s="8"/>
      <c r="U465" s="8" t="s">
        <v>2709</v>
      </c>
      <c r="V465" s="8" t="s">
        <v>2710</v>
      </c>
    </row>
    <row r="466" spans="2:22" ht="15" customHeight="1" x14ac:dyDescent="0.3">
      <c r="B466" s="22">
        <v>459</v>
      </c>
      <c r="C466" s="8" t="s">
        <v>15</v>
      </c>
      <c r="D466" s="8" t="s">
        <v>2705</v>
      </c>
      <c r="E466" s="8" t="s">
        <v>2722</v>
      </c>
      <c r="F466" s="8" t="s">
        <v>390</v>
      </c>
      <c r="G466" s="8" t="s">
        <v>539</v>
      </c>
      <c r="H466" s="8" t="s">
        <v>2723</v>
      </c>
      <c r="I466" s="8" t="s">
        <v>51</v>
      </c>
      <c r="J466" s="42">
        <v>2017</v>
      </c>
      <c r="K466" s="8"/>
      <c r="L466" s="28">
        <v>16</v>
      </c>
      <c r="M466" s="28"/>
      <c r="N466" s="28">
        <f t="shared" si="10"/>
        <v>16</v>
      </c>
      <c r="O466" s="34"/>
      <c r="P466" s="8"/>
      <c r="Q466" s="8" t="s">
        <v>2724</v>
      </c>
      <c r="R466" s="8" t="s">
        <v>395</v>
      </c>
      <c r="S466" s="84"/>
      <c r="T466" s="8"/>
      <c r="U466" s="8" t="s">
        <v>2709</v>
      </c>
      <c r="V466" s="8" t="s">
        <v>2710</v>
      </c>
    </row>
    <row r="467" spans="2:22" ht="15" customHeight="1" x14ac:dyDescent="0.3">
      <c r="B467" s="22">
        <v>460</v>
      </c>
      <c r="C467" s="8" t="s">
        <v>15</v>
      </c>
      <c r="D467" s="8" t="s">
        <v>2705</v>
      </c>
      <c r="E467" s="8" t="s">
        <v>2725</v>
      </c>
      <c r="F467" s="8" t="s">
        <v>55</v>
      </c>
      <c r="G467" s="8" t="s">
        <v>440</v>
      </c>
      <c r="H467" s="8" t="s">
        <v>2726</v>
      </c>
      <c r="I467" s="8" t="s">
        <v>51</v>
      </c>
      <c r="J467" s="42">
        <v>2010</v>
      </c>
      <c r="K467" s="8"/>
      <c r="L467" s="28">
        <v>306.5</v>
      </c>
      <c r="M467" s="28"/>
      <c r="N467" s="28">
        <f t="shared" si="10"/>
        <v>306.5</v>
      </c>
      <c r="O467" s="34"/>
      <c r="P467" s="8"/>
      <c r="Q467" s="8" t="s">
        <v>2727</v>
      </c>
      <c r="R467" s="8" t="s">
        <v>42</v>
      </c>
      <c r="S467" s="84" t="s">
        <v>2728</v>
      </c>
      <c r="T467" s="8"/>
      <c r="U467" s="8" t="s">
        <v>2709</v>
      </c>
      <c r="V467" s="8" t="s">
        <v>2710</v>
      </c>
    </row>
    <row r="468" spans="2:22" ht="15" customHeight="1" x14ac:dyDescent="0.3">
      <c r="B468" s="22">
        <v>461</v>
      </c>
      <c r="C468" s="8" t="s">
        <v>15</v>
      </c>
      <c r="D468" s="8" t="s">
        <v>2705</v>
      </c>
      <c r="E468" s="8" t="s">
        <v>2729</v>
      </c>
      <c r="F468" s="8" t="s">
        <v>35</v>
      </c>
      <c r="G468" s="8" t="s">
        <v>334</v>
      </c>
      <c r="H468" s="8" t="s">
        <v>2730</v>
      </c>
      <c r="I468" s="8" t="s">
        <v>51</v>
      </c>
      <c r="J468" s="42">
        <v>2012</v>
      </c>
      <c r="K468" s="8"/>
      <c r="L468" s="28">
        <v>5.6</v>
      </c>
      <c r="M468" s="28"/>
      <c r="N468" s="28">
        <f t="shared" si="10"/>
        <v>5.6</v>
      </c>
      <c r="O468" s="34"/>
      <c r="P468" s="8"/>
      <c r="Q468" s="8" t="s">
        <v>2731</v>
      </c>
      <c r="R468" s="8" t="s">
        <v>395</v>
      </c>
      <c r="S468" s="84"/>
      <c r="T468" s="8"/>
      <c r="U468" s="8" t="s">
        <v>2709</v>
      </c>
      <c r="V468" s="8" t="s">
        <v>2710</v>
      </c>
    </row>
    <row r="469" spans="2:22" ht="15" customHeight="1" x14ac:dyDescent="0.3">
      <c r="B469" s="22">
        <v>462</v>
      </c>
      <c r="C469" s="8" t="s">
        <v>15</v>
      </c>
      <c r="D469" s="8" t="s">
        <v>2705</v>
      </c>
      <c r="E469" s="8" t="s">
        <v>2732</v>
      </c>
      <c r="F469" s="8" t="s">
        <v>50</v>
      </c>
      <c r="G469" s="8" t="s">
        <v>2733</v>
      </c>
      <c r="H469" s="8" t="s">
        <v>2734</v>
      </c>
      <c r="I469" s="8" t="s">
        <v>51</v>
      </c>
      <c r="J469" s="42">
        <v>2017</v>
      </c>
      <c r="K469" s="8"/>
      <c r="L469" s="28">
        <v>160</v>
      </c>
      <c r="M469" s="28"/>
      <c r="N469" s="28">
        <f t="shared" si="10"/>
        <v>160</v>
      </c>
      <c r="O469" s="34"/>
      <c r="P469" s="8"/>
      <c r="Q469" s="8" t="s">
        <v>2727</v>
      </c>
      <c r="R469" s="8" t="s">
        <v>42</v>
      </c>
      <c r="S469" s="84" t="s">
        <v>2728</v>
      </c>
      <c r="T469" s="8"/>
      <c r="U469" s="8" t="s">
        <v>2709</v>
      </c>
      <c r="V469" s="8" t="s">
        <v>2710</v>
      </c>
    </row>
    <row r="470" spans="2:22" ht="15" customHeight="1" x14ac:dyDescent="0.3">
      <c r="B470" s="22">
        <v>463</v>
      </c>
      <c r="C470" s="8" t="s">
        <v>15</v>
      </c>
      <c r="D470" s="8" t="s">
        <v>2705</v>
      </c>
      <c r="E470" s="8" t="s">
        <v>2735</v>
      </c>
      <c r="F470" s="8" t="s">
        <v>390</v>
      </c>
      <c r="G470" s="8" t="s">
        <v>2736</v>
      </c>
      <c r="H470" s="8" t="s">
        <v>2737</v>
      </c>
      <c r="I470" s="8" t="s">
        <v>51</v>
      </c>
      <c r="J470" s="42">
        <v>2016</v>
      </c>
      <c r="K470" s="8"/>
      <c r="L470" s="28">
        <v>38</v>
      </c>
      <c r="M470" s="28"/>
      <c r="N470" s="28">
        <f t="shared" si="10"/>
        <v>38</v>
      </c>
      <c r="O470" s="34"/>
      <c r="P470" s="8"/>
      <c r="Q470" s="8" t="s">
        <v>2738</v>
      </c>
      <c r="R470" s="8" t="s">
        <v>395</v>
      </c>
      <c r="S470" s="84"/>
      <c r="T470" s="8"/>
      <c r="U470" s="8" t="s">
        <v>2709</v>
      </c>
      <c r="V470" s="8" t="s">
        <v>2710</v>
      </c>
    </row>
    <row r="471" spans="2:22" ht="15" customHeight="1" x14ac:dyDescent="0.3">
      <c r="B471" s="22">
        <v>464</v>
      </c>
      <c r="C471" s="8" t="s">
        <v>15</v>
      </c>
      <c r="D471" s="8" t="s">
        <v>2705</v>
      </c>
      <c r="E471" s="8" t="s">
        <v>2739</v>
      </c>
      <c r="F471" s="8" t="s">
        <v>390</v>
      </c>
      <c r="G471" s="8" t="s">
        <v>2740</v>
      </c>
      <c r="H471" s="8" t="s">
        <v>2720</v>
      </c>
      <c r="I471" s="8" t="s">
        <v>51</v>
      </c>
      <c r="J471" s="42">
        <v>2001</v>
      </c>
      <c r="K471" s="8"/>
      <c r="L471" s="28">
        <v>13.5</v>
      </c>
      <c r="M471" s="28"/>
      <c r="N471" s="28">
        <f t="shared" si="10"/>
        <v>13.5</v>
      </c>
      <c r="O471" s="34"/>
      <c r="P471" s="8"/>
      <c r="Q471" s="8" t="s">
        <v>2741</v>
      </c>
      <c r="R471" s="8" t="s">
        <v>395</v>
      </c>
      <c r="S471" s="84"/>
      <c r="T471" s="8"/>
      <c r="U471" s="8" t="s">
        <v>2709</v>
      </c>
      <c r="V471" s="8" t="s">
        <v>2710</v>
      </c>
    </row>
    <row r="472" spans="2:22" ht="15" customHeight="1" x14ac:dyDescent="0.3">
      <c r="B472" s="22">
        <v>465</v>
      </c>
      <c r="C472" s="8" t="s">
        <v>15</v>
      </c>
      <c r="D472" s="8" t="s">
        <v>2705</v>
      </c>
      <c r="E472" s="8" t="s">
        <v>2742</v>
      </c>
      <c r="F472" s="8" t="s">
        <v>55</v>
      </c>
      <c r="G472" s="8" t="s">
        <v>2740</v>
      </c>
      <c r="H472" s="8" t="s">
        <v>2743</v>
      </c>
      <c r="I472" s="8" t="s">
        <v>51</v>
      </c>
      <c r="J472" s="42">
        <v>2002</v>
      </c>
      <c r="K472" s="8"/>
      <c r="L472" s="28">
        <v>4.5</v>
      </c>
      <c r="M472" s="28"/>
      <c r="N472" s="28">
        <f t="shared" si="10"/>
        <v>4.5</v>
      </c>
      <c r="O472" s="34"/>
      <c r="P472" s="8"/>
      <c r="Q472" s="8" t="s">
        <v>2744</v>
      </c>
      <c r="R472" s="8" t="s">
        <v>395</v>
      </c>
      <c r="S472" s="84"/>
      <c r="T472" s="8"/>
      <c r="U472" s="8" t="s">
        <v>2709</v>
      </c>
      <c r="V472" s="8" t="s">
        <v>2710</v>
      </c>
    </row>
    <row r="473" spans="2:22" ht="15" customHeight="1" x14ac:dyDescent="0.3">
      <c r="B473" s="22">
        <v>466</v>
      </c>
      <c r="C473" s="8" t="s">
        <v>15</v>
      </c>
      <c r="D473" s="8" t="s">
        <v>2745</v>
      </c>
      <c r="E473" s="8" t="s">
        <v>2746</v>
      </c>
      <c r="F473" s="8" t="s">
        <v>95</v>
      </c>
      <c r="G473" s="8" t="s">
        <v>2538</v>
      </c>
      <c r="H473" s="8" t="s">
        <v>2747</v>
      </c>
      <c r="I473" s="8" t="s">
        <v>422</v>
      </c>
      <c r="J473" s="42">
        <v>1992</v>
      </c>
      <c r="K473" s="8"/>
      <c r="L473" s="28">
        <v>30</v>
      </c>
      <c r="M473" s="28"/>
      <c r="N473" s="28">
        <f t="shared" si="10"/>
        <v>30</v>
      </c>
      <c r="O473" s="34"/>
      <c r="P473" s="8"/>
      <c r="Q473" s="8" t="s">
        <v>2748</v>
      </c>
      <c r="R473" s="8" t="s">
        <v>1259</v>
      </c>
      <c r="S473" s="84"/>
      <c r="T473" s="8"/>
      <c r="U473" s="8" t="s">
        <v>2749</v>
      </c>
      <c r="V473" s="8" t="s">
        <v>2750</v>
      </c>
    </row>
    <row r="474" spans="2:22" ht="15" customHeight="1" x14ac:dyDescent="0.3">
      <c r="B474" s="22">
        <v>467</v>
      </c>
      <c r="C474" s="8" t="s">
        <v>15</v>
      </c>
      <c r="D474" s="8" t="s">
        <v>2745</v>
      </c>
      <c r="E474" s="8" t="s">
        <v>2751</v>
      </c>
      <c r="F474" s="8" t="s">
        <v>390</v>
      </c>
      <c r="G474" s="8" t="s">
        <v>2752</v>
      </c>
      <c r="H474" s="8" t="s">
        <v>2753</v>
      </c>
      <c r="I474" s="8" t="s">
        <v>67</v>
      </c>
      <c r="J474" s="42">
        <v>1996</v>
      </c>
      <c r="K474" s="8"/>
      <c r="L474" s="28">
        <v>560</v>
      </c>
      <c r="M474" s="28">
        <v>50</v>
      </c>
      <c r="N474" s="28">
        <f t="shared" si="10"/>
        <v>610</v>
      </c>
      <c r="O474" s="34"/>
      <c r="P474" s="8"/>
      <c r="Q474" s="8" t="s">
        <v>2754</v>
      </c>
      <c r="R474" s="8" t="s">
        <v>173</v>
      </c>
      <c r="S474" s="84"/>
      <c r="T474" s="8"/>
      <c r="U474" s="8" t="s">
        <v>2749</v>
      </c>
      <c r="V474" s="8" t="s">
        <v>2750</v>
      </c>
    </row>
    <row r="475" spans="2:22" ht="15" customHeight="1" x14ac:dyDescent="0.3">
      <c r="B475" s="22">
        <v>468</v>
      </c>
      <c r="C475" s="8" t="s">
        <v>15</v>
      </c>
      <c r="D475" s="5" t="s">
        <v>2745</v>
      </c>
      <c r="E475" s="5" t="s">
        <v>2755</v>
      </c>
      <c r="F475" s="5" t="s">
        <v>95</v>
      </c>
      <c r="G475" s="5" t="s">
        <v>178</v>
      </c>
      <c r="H475" s="5" t="s">
        <v>2756</v>
      </c>
      <c r="I475" s="5" t="s">
        <v>422</v>
      </c>
      <c r="J475" s="42">
        <v>2015</v>
      </c>
      <c r="K475" s="5"/>
      <c r="L475" s="19">
        <v>80</v>
      </c>
      <c r="M475" s="19"/>
      <c r="N475" s="28">
        <f t="shared" si="10"/>
        <v>80</v>
      </c>
      <c r="O475" s="37"/>
      <c r="P475" s="5"/>
      <c r="Q475" s="5" t="s">
        <v>2757</v>
      </c>
      <c r="R475" s="5" t="s">
        <v>2758</v>
      </c>
      <c r="S475" s="90"/>
      <c r="T475" s="5"/>
      <c r="U475" s="5" t="s">
        <v>2759</v>
      </c>
      <c r="V475" s="5" t="s">
        <v>2760</v>
      </c>
    </row>
    <row r="476" spans="2:22" ht="15" customHeight="1" x14ac:dyDescent="0.3">
      <c r="B476" s="22">
        <v>469</v>
      </c>
      <c r="C476" s="8" t="s">
        <v>15</v>
      </c>
      <c r="D476" s="8" t="s">
        <v>2745</v>
      </c>
      <c r="E476" s="8" t="s">
        <v>2761</v>
      </c>
      <c r="F476" s="8" t="s">
        <v>95</v>
      </c>
      <c r="G476" s="8" t="s">
        <v>742</v>
      </c>
      <c r="H476" s="8" t="s">
        <v>2762</v>
      </c>
      <c r="I476" s="8" t="s">
        <v>422</v>
      </c>
      <c r="J476" s="42">
        <v>2015</v>
      </c>
      <c r="K476" s="8"/>
      <c r="L476" s="28">
        <v>500</v>
      </c>
      <c r="M476" s="28"/>
      <c r="N476" s="28">
        <f t="shared" si="10"/>
        <v>500</v>
      </c>
      <c r="O476" s="34"/>
      <c r="P476" s="8"/>
      <c r="Q476" s="8" t="s">
        <v>2763</v>
      </c>
      <c r="R476" s="8" t="s">
        <v>395</v>
      </c>
      <c r="S476" s="84"/>
      <c r="T476" s="8"/>
      <c r="U476" s="8" t="s">
        <v>2749</v>
      </c>
      <c r="V476" s="8" t="s">
        <v>2750</v>
      </c>
    </row>
    <row r="477" spans="2:22" ht="15" customHeight="1" x14ac:dyDescent="0.3">
      <c r="B477" s="22">
        <v>470</v>
      </c>
      <c r="C477" s="8" t="s">
        <v>15</v>
      </c>
      <c r="D477" s="8" t="s">
        <v>2745</v>
      </c>
      <c r="E477" s="8" t="s">
        <v>2764</v>
      </c>
      <c r="F477" s="8" t="s">
        <v>390</v>
      </c>
      <c r="G477" s="8" t="s">
        <v>2765</v>
      </c>
      <c r="H477" s="8" t="s">
        <v>2766</v>
      </c>
      <c r="I477" s="8" t="s">
        <v>51</v>
      </c>
      <c r="J477" s="42" t="s">
        <v>68</v>
      </c>
      <c r="K477" s="8"/>
      <c r="L477" s="28">
        <v>30</v>
      </c>
      <c r="M477" s="28"/>
      <c r="N477" s="28">
        <f t="shared" si="10"/>
        <v>30</v>
      </c>
      <c r="O477" s="34"/>
      <c r="P477" s="8"/>
      <c r="Q477" s="8"/>
      <c r="R477" s="8"/>
      <c r="S477" s="84"/>
      <c r="T477" s="8"/>
      <c r="U477" s="8" t="s">
        <v>2767</v>
      </c>
      <c r="V477" s="8" t="s">
        <v>2768</v>
      </c>
    </row>
    <row r="478" spans="2:22" ht="15" customHeight="1" x14ac:dyDescent="0.3">
      <c r="B478" s="22">
        <v>471</v>
      </c>
      <c r="C478" s="8" t="s">
        <v>15</v>
      </c>
      <c r="D478" s="8" t="s">
        <v>2745</v>
      </c>
      <c r="E478" s="8" t="s">
        <v>2769</v>
      </c>
      <c r="F478" s="8" t="s">
        <v>390</v>
      </c>
      <c r="G478" s="8" t="s">
        <v>728</v>
      </c>
      <c r="H478" s="8" t="s">
        <v>2770</v>
      </c>
      <c r="I478" s="8" t="s">
        <v>51</v>
      </c>
      <c r="J478" s="42">
        <v>2012</v>
      </c>
      <c r="K478" s="8"/>
      <c r="L478" s="28">
        <v>15</v>
      </c>
      <c r="M478" s="28">
        <v>12.5</v>
      </c>
      <c r="N478" s="28">
        <f t="shared" si="10"/>
        <v>27.5</v>
      </c>
      <c r="O478" s="34"/>
      <c r="P478" s="8"/>
      <c r="Q478" s="8" t="s">
        <v>2771</v>
      </c>
      <c r="R478" s="8" t="s">
        <v>2772</v>
      </c>
      <c r="S478" s="84" t="s">
        <v>2773</v>
      </c>
      <c r="T478" s="8" t="s">
        <v>2774</v>
      </c>
      <c r="U478" s="8" t="s">
        <v>2775</v>
      </c>
      <c r="V478" s="8" t="s">
        <v>2776</v>
      </c>
    </row>
    <row r="479" spans="2:22" ht="15" customHeight="1" x14ac:dyDescent="0.3">
      <c r="B479" s="22">
        <v>472</v>
      </c>
      <c r="C479" s="8" t="s">
        <v>15</v>
      </c>
      <c r="D479" s="5" t="s">
        <v>2745</v>
      </c>
      <c r="E479" s="5" t="s">
        <v>2777</v>
      </c>
      <c r="F479" s="5" t="s">
        <v>95</v>
      </c>
      <c r="G479" s="5" t="s">
        <v>2376</v>
      </c>
      <c r="H479" s="5" t="s">
        <v>2756</v>
      </c>
      <c r="I479" s="5" t="s">
        <v>422</v>
      </c>
      <c r="J479" s="42">
        <v>2007</v>
      </c>
      <c r="K479" s="5"/>
      <c r="L479" s="19">
        <v>80</v>
      </c>
      <c r="M479" s="19"/>
      <c r="N479" s="28">
        <f t="shared" si="10"/>
        <v>80</v>
      </c>
      <c r="O479" s="37"/>
      <c r="P479" s="5"/>
      <c r="Q479" s="5" t="s">
        <v>2757</v>
      </c>
      <c r="R479" s="5" t="s">
        <v>2758</v>
      </c>
      <c r="S479" s="90"/>
      <c r="T479" s="5"/>
      <c r="U479" s="5" t="s">
        <v>2759</v>
      </c>
      <c r="V479" s="5" t="s">
        <v>2760</v>
      </c>
    </row>
    <row r="480" spans="2:22" ht="15" customHeight="1" x14ac:dyDescent="0.3">
      <c r="B480" s="22">
        <v>473</v>
      </c>
      <c r="C480" s="8" t="s">
        <v>15</v>
      </c>
      <c r="D480" s="8" t="s">
        <v>2745</v>
      </c>
      <c r="E480" s="8" t="s">
        <v>2778</v>
      </c>
      <c r="F480" s="5" t="s">
        <v>95</v>
      </c>
      <c r="G480" s="5" t="s">
        <v>167</v>
      </c>
      <c r="H480" s="5" t="s">
        <v>2779</v>
      </c>
      <c r="I480" s="5" t="s">
        <v>422</v>
      </c>
      <c r="J480" s="42">
        <v>2014</v>
      </c>
      <c r="K480" s="5"/>
      <c r="L480" s="19">
        <v>54</v>
      </c>
      <c r="M480" s="19"/>
      <c r="N480" s="28">
        <f t="shared" si="10"/>
        <v>54</v>
      </c>
      <c r="O480" s="37"/>
      <c r="P480" s="5"/>
      <c r="Q480" s="5"/>
      <c r="R480" s="5"/>
      <c r="S480" s="90"/>
      <c r="T480" s="5"/>
      <c r="U480" s="5" t="s">
        <v>2749</v>
      </c>
      <c r="V480" s="5" t="s">
        <v>2750</v>
      </c>
    </row>
    <row r="481" spans="2:22" ht="15" customHeight="1" x14ac:dyDescent="0.3">
      <c r="B481" s="22">
        <v>474</v>
      </c>
      <c r="C481" s="8" t="s">
        <v>15</v>
      </c>
      <c r="D481" s="49" t="s">
        <v>2745</v>
      </c>
      <c r="E481" s="49" t="s">
        <v>2780</v>
      </c>
      <c r="F481" s="49" t="s">
        <v>55</v>
      </c>
      <c r="G481" s="49" t="s">
        <v>2781</v>
      </c>
      <c r="H481" s="49" t="s">
        <v>2782</v>
      </c>
      <c r="I481" s="49" t="s">
        <v>67</v>
      </c>
      <c r="J481" s="42">
        <v>2001</v>
      </c>
      <c r="K481" s="49"/>
      <c r="L481" s="112">
        <v>90</v>
      </c>
      <c r="M481" s="112"/>
      <c r="N481" s="28">
        <f t="shared" si="10"/>
        <v>90</v>
      </c>
      <c r="O481" s="45"/>
      <c r="P481" s="49"/>
      <c r="Q481" s="49" t="s">
        <v>2783</v>
      </c>
      <c r="R481" s="49" t="s">
        <v>2414</v>
      </c>
      <c r="S481" s="140" t="s">
        <v>2784</v>
      </c>
      <c r="T481" s="49"/>
      <c r="U481" s="49" t="s">
        <v>2785</v>
      </c>
      <c r="V481" s="49" t="s">
        <v>2786</v>
      </c>
    </row>
    <row r="482" spans="2:22" ht="15" customHeight="1" x14ac:dyDescent="0.3">
      <c r="B482" s="22">
        <v>475</v>
      </c>
      <c r="C482" s="8" t="s">
        <v>15</v>
      </c>
      <c r="D482" s="8" t="s">
        <v>2745</v>
      </c>
      <c r="E482" s="8" t="s">
        <v>2787</v>
      </c>
      <c r="F482" s="8" t="s">
        <v>390</v>
      </c>
      <c r="G482" s="8" t="s">
        <v>2788</v>
      </c>
      <c r="H482" s="8" t="s">
        <v>2789</v>
      </c>
      <c r="I482" s="8" t="s">
        <v>422</v>
      </c>
      <c r="J482" s="42">
        <v>1998</v>
      </c>
      <c r="K482" s="8"/>
      <c r="L482" s="28"/>
      <c r="M482" s="28"/>
      <c r="N482" s="28" t="s">
        <v>2790</v>
      </c>
      <c r="O482" s="34"/>
      <c r="P482" s="8"/>
      <c r="Q482" s="8" t="s">
        <v>2791</v>
      </c>
      <c r="R482" s="8" t="s">
        <v>2414</v>
      </c>
      <c r="S482" s="84"/>
      <c r="T482" s="8"/>
      <c r="U482" s="8" t="s">
        <v>2792</v>
      </c>
      <c r="V482" s="8" t="s">
        <v>2793</v>
      </c>
    </row>
    <row r="483" spans="2:22" ht="15" customHeight="1" x14ac:dyDescent="0.3">
      <c r="B483" s="22">
        <v>476</v>
      </c>
      <c r="C483" s="8" t="s">
        <v>15</v>
      </c>
      <c r="D483" s="8" t="s">
        <v>2794</v>
      </c>
      <c r="E483" s="7" t="s">
        <v>2795</v>
      </c>
      <c r="F483" s="8" t="s">
        <v>390</v>
      </c>
      <c r="G483" s="7" t="s">
        <v>2796</v>
      </c>
      <c r="H483" s="8" t="s">
        <v>68</v>
      </c>
      <c r="I483" s="8" t="s">
        <v>869</v>
      </c>
      <c r="J483" s="42" t="s">
        <v>1334</v>
      </c>
      <c r="K483" s="8"/>
      <c r="L483" s="28">
        <v>100</v>
      </c>
      <c r="M483" s="28">
        <v>40</v>
      </c>
      <c r="N483" s="28">
        <f t="shared" si="10"/>
        <v>140</v>
      </c>
      <c r="O483" s="34"/>
      <c r="P483" s="8"/>
      <c r="Q483" s="8" t="s">
        <v>2797</v>
      </c>
      <c r="R483" s="8" t="s">
        <v>888</v>
      </c>
      <c r="S483" s="84"/>
      <c r="T483" s="8"/>
      <c r="U483" s="8" t="s">
        <v>2798</v>
      </c>
      <c r="V483" s="8" t="s">
        <v>2799</v>
      </c>
    </row>
    <row r="484" spans="2:22" ht="15" customHeight="1" x14ac:dyDescent="0.3">
      <c r="B484" s="22">
        <v>477</v>
      </c>
      <c r="C484" s="8" t="s">
        <v>15</v>
      </c>
      <c r="D484" s="8" t="s">
        <v>2794</v>
      </c>
      <c r="E484" s="8" t="s">
        <v>2800</v>
      </c>
      <c r="F484" s="8" t="s">
        <v>95</v>
      </c>
      <c r="G484" s="8" t="s">
        <v>178</v>
      </c>
      <c r="H484" s="8" t="s">
        <v>2801</v>
      </c>
      <c r="I484" s="8" t="s">
        <v>422</v>
      </c>
      <c r="J484" s="42">
        <v>1983</v>
      </c>
      <c r="K484" s="8"/>
      <c r="L484" s="28">
        <v>160</v>
      </c>
      <c r="M484" s="28"/>
      <c r="N484" s="28">
        <f t="shared" si="10"/>
        <v>160</v>
      </c>
      <c r="O484" s="34"/>
      <c r="P484" s="8"/>
      <c r="Q484" s="8" t="s">
        <v>2802</v>
      </c>
      <c r="R484" s="8" t="s">
        <v>888</v>
      </c>
      <c r="S484" s="84"/>
      <c r="T484" s="8"/>
      <c r="U484" s="8" t="s">
        <v>2803</v>
      </c>
      <c r="V484" s="8" t="s">
        <v>2804</v>
      </c>
    </row>
    <row r="485" spans="2:22" ht="15" customHeight="1" x14ac:dyDescent="0.3">
      <c r="B485" s="22">
        <v>478</v>
      </c>
      <c r="C485" s="8" t="s">
        <v>15</v>
      </c>
      <c r="D485" s="8" t="s">
        <v>2794</v>
      </c>
      <c r="E485" s="8" t="s">
        <v>2805</v>
      </c>
      <c r="F485" s="8" t="s">
        <v>95</v>
      </c>
      <c r="G485" s="8" t="s">
        <v>2557</v>
      </c>
      <c r="H485" s="8" t="s">
        <v>2806</v>
      </c>
      <c r="I485" s="8" t="s">
        <v>422</v>
      </c>
      <c r="J485" s="42">
        <v>2017</v>
      </c>
      <c r="K485" s="8"/>
      <c r="L485" s="28">
        <v>55</v>
      </c>
      <c r="M485" s="28"/>
      <c r="N485" s="28">
        <f t="shared" si="10"/>
        <v>55</v>
      </c>
      <c r="O485" s="34"/>
      <c r="P485" s="8"/>
      <c r="Q485" s="8" t="s">
        <v>2807</v>
      </c>
      <c r="R485" s="8"/>
      <c r="S485" s="84"/>
      <c r="T485" s="8"/>
      <c r="U485" s="8" t="s">
        <v>2803</v>
      </c>
      <c r="V485" s="8" t="s">
        <v>2804</v>
      </c>
    </row>
    <row r="486" spans="2:22" ht="15" customHeight="1" x14ac:dyDescent="0.3">
      <c r="B486" s="22">
        <v>479</v>
      </c>
      <c r="C486" s="8" t="s">
        <v>15</v>
      </c>
      <c r="D486" s="8" t="s">
        <v>2794</v>
      </c>
      <c r="E486" s="8" t="s">
        <v>2808</v>
      </c>
      <c r="F486" s="8" t="s">
        <v>95</v>
      </c>
      <c r="G486" s="8" t="s">
        <v>2557</v>
      </c>
      <c r="H486" s="8" t="s">
        <v>2809</v>
      </c>
      <c r="I486" s="8" t="s">
        <v>422</v>
      </c>
      <c r="J486" s="42">
        <v>2019</v>
      </c>
      <c r="K486" s="8"/>
      <c r="L486" s="28">
        <v>50</v>
      </c>
      <c r="M486" s="28"/>
      <c r="N486" s="28">
        <f t="shared" si="10"/>
        <v>50</v>
      </c>
      <c r="O486" s="34"/>
      <c r="P486" s="8"/>
      <c r="Q486" s="8" t="s">
        <v>2810</v>
      </c>
      <c r="R486" s="8"/>
      <c r="S486" s="84"/>
      <c r="T486" s="8"/>
      <c r="U486" s="8" t="s">
        <v>2803</v>
      </c>
      <c r="V486" s="8" t="s">
        <v>2804</v>
      </c>
    </row>
    <row r="487" spans="2:22" ht="15" customHeight="1" x14ac:dyDescent="0.3">
      <c r="B487" s="22">
        <v>480</v>
      </c>
      <c r="C487" s="8" t="s">
        <v>15</v>
      </c>
      <c r="D487" s="8" t="s">
        <v>2794</v>
      </c>
      <c r="E487" s="8" t="s">
        <v>2811</v>
      </c>
      <c r="F487" s="8" t="s">
        <v>95</v>
      </c>
      <c r="G487" s="8" t="s">
        <v>742</v>
      </c>
      <c r="H487" s="8" t="s">
        <v>2809</v>
      </c>
      <c r="I487" s="8" t="s">
        <v>422</v>
      </c>
      <c r="J487" s="42">
        <v>2017</v>
      </c>
      <c r="K487" s="8"/>
      <c r="L487" s="28">
        <v>170</v>
      </c>
      <c r="M487" s="28"/>
      <c r="N487" s="28">
        <f t="shared" si="10"/>
        <v>170</v>
      </c>
      <c r="O487" s="34"/>
      <c r="P487" s="8"/>
      <c r="Q487" s="8" t="s">
        <v>2812</v>
      </c>
      <c r="R487" s="8" t="s">
        <v>888</v>
      </c>
      <c r="S487" s="84"/>
      <c r="T487" s="8"/>
      <c r="U487" s="8" t="s">
        <v>2803</v>
      </c>
      <c r="V487" s="8" t="s">
        <v>2804</v>
      </c>
    </row>
    <row r="488" spans="2:22" ht="15" customHeight="1" x14ac:dyDescent="0.3">
      <c r="B488" s="22">
        <v>481</v>
      </c>
      <c r="C488" s="8" t="s">
        <v>15</v>
      </c>
      <c r="D488" s="8" t="s">
        <v>2794</v>
      </c>
      <c r="E488" s="8" t="s">
        <v>2813</v>
      </c>
      <c r="F488" s="8" t="s">
        <v>390</v>
      </c>
      <c r="G488" s="8" t="s">
        <v>2376</v>
      </c>
      <c r="H488" s="8" t="s">
        <v>2814</v>
      </c>
      <c r="I488" s="8" t="s">
        <v>422</v>
      </c>
      <c r="J488" s="42">
        <v>2001</v>
      </c>
      <c r="K488" s="8">
        <v>30</v>
      </c>
      <c r="L488" s="28">
        <v>2329</v>
      </c>
      <c r="M488" s="28"/>
      <c r="N488" s="28">
        <f t="shared" si="10"/>
        <v>2359</v>
      </c>
      <c r="O488" s="34"/>
      <c r="P488" s="8"/>
      <c r="Q488" s="8" t="s">
        <v>2815</v>
      </c>
      <c r="R488" s="8" t="s">
        <v>888</v>
      </c>
      <c r="S488" s="84"/>
      <c r="T488" s="8" t="s">
        <v>43</v>
      </c>
      <c r="U488" s="8" t="s">
        <v>2816</v>
      </c>
      <c r="V488" s="8" t="s">
        <v>2817</v>
      </c>
    </row>
    <row r="489" spans="2:22" ht="15" customHeight="1" x14ac:dyDescent="0.3">
      <c r="B489" s="22">
        <v>482</v>
      </c>
      <c r="C489" s="8" t="s">
        <v>15</v>
      </c>
      <c r="D489" s="8" t="s">
        <v>2794</v>
      </c>
      <c r="E489" s="8" t="s">
        <v>2818</v>
      </c>
      <c r="F489" s="8" t="s">
        <v>55</v>
      </c>
      <c r="G489" s="8" t="s">
        <v>2376</v>
      </c>
      <c r="H489" s="8" t="s">
        <v>2819</v>
      </c>
      <c r="I489" s="8" t="s">
        <v>422</v>
      </c>
      <c r="J489" s="42">
        <v>2007</v>
      </c>
      <c r="K489" s="8"/>
      <c r="L489" s="28">
        <v>140</v>
      </c>
      <c r="M489" s="28"/>
      <c r="N489" s="28">
        <f t="shared" si="10"/>
        <v>140</v>
      </c>
      <c r="O489" s="34"/>
      <c r="P489" s="8"/>
      <c r="Q489" s="8" t="s">
        <v>2820</v>
      </c>
      <c r="R489" s="8" t="s">
        <v>888</v>
      </c>
      <c r="S489" s="84"/>
      <c r="T489" s="8"/>
      <c r="U489" s="8" t="s">
        <v>2821</v>
      </c>
      <c r="V489" s="8" t="s">
        <v>2822</v>
      </c>
    </row>
    <row r="490" spans="2:22" ht="15" customHeight="1" x14ac:dyDescent="0.3">
      <c r="B490" s="22">
        <v>483</v>
      </c>
      <c r="C490" s="8" t="s">
        <v>15</v>
      </c>
      <c r="D490" s="8" t="s">
        <v>2794</v>
      </c>
      <c r="E490" s="8" t="s">
        <v>2823</v>
      </c>
      <c r="F490" s="8" t="s">
        <v>55</v>
      </c>
      <c r="G490" s="8" t="s">
        <v>167</v>
      </c>
      <c r="H490" s="8" t="s">
        <v>2824</v>
      </c>
      <c r="I490" s="8" t="s">
        <v>422</v>
      </c>
      <c r="J490" s="42">
        <v>2001</v>
      </c>
      <c r="K490" s="8"/>
      <c r="L490" s="28">
        <v>160</v>
      </c>
      <c r="M490" s="28"/>
      <c r="N490" s="28">
        <f t="shared" si="10"/>
        <v>160</v>
      </c>
      <c r="O490" s="34"/>
      <c r="P490" s="8"/>
      <c r="Q490" s="8" t="s">
        <v>2825</v>
      </c>
      <c r="R490" s="8" t="s">
        <v>888</v>
      </c>
      <c r="S490" s="84"/>
      <c r="T490" s="8"/>
      <c r="U490" s="8" t="s">
        <v>2821</v>
      </c>
      <c r="V490" s="8" t="s">
        <v>2822</v>
      </c>
    </row>
    <row r="491" spans="2:22" ht="15" customHeight="1" x14ac:dyDescent="0.3">
      <c r="B491" s="22">
        <v>484</v>
      </c>
      <c r="C491" s="8" t="s">
        <v>15</v>
      </c>
      <c r="D491" s="8" t="s">
        <v>2826</v>
      </c>
      <c r="E491" s="8" t="s">
        <v>2827</v>
      </c>
      <c r="F491" s="8" t="s">
        <v>2828</v>
      </c>
      <c r="G491" s="8" t="s">
        <v>178</v>
      </c>
      <c r="H491" s="8" t="s">
        <v>2829</v>
      </c>
      <c r="I491" s="8" t="s">
        <v>67</v>
      </c>
      <c r="J491" s="42" t="s">
        <v>2478</v>
      </c>
      <c r="K491" s="8"/>
      <c r="L491" s="28">
        <v>500</v>
      </c>
      <c r="M491" s="28"/>
      <c r="N491" s="28">
        <f t="shared" si="10"/>
        <v>500</v>
      </c>
      <c r="O491" s="34"/>
      <c r="P491" s="8"/>
      <c r="Q491" s="8" t="s">
        <v>2830</v>
      </c>
      <c r="R491" s="8" t="s">
        <v>395</v>
      </c>
      <c r="S491" s="84" t="s">
        <v>2831</v>
      </c>
      <c r="T491" s="8"/>
      <c r="U491" s="8" t="s">
        <v>2832</v>
      </c>
      <c r="V491" s="8" t="s">
        <v>2833</v>
      </c>
    </row>
    <row r="492" spans="2:22" ht="15" customHeight="1" x14ac:dyDescent="0.3">
      <c r="B492" s="22">
        <v>485</v>
      </c>
      <c r="C492" s="8" t="s">
        <v>15</v>
      </c>
      <c r="D492" s="8" t="s">
        <v>2826</v>
      </c>
      <c r="E492" s="8" t="s">
        <v>2834</v>
      </c>
      <c r="F492" s="8" t="s">
        <v>390</v>
      </c>
      <c r="G492" s="8" t="s">
        <v>2835</v>
      </c>
      <c r="H492" s="8" t="s">
        <v>2829</v>
      </c>
      <c r="I492" s="8" t="s">
        <v>51</v>
      </c>
      <c r="J492" s="42">
        <v>2004</v>
      </c>
      <c r="K492" s="8"/>
      <c r="L492" s="28">
        <v>100</v>
      </c>
      <c r="M492" s="28">
        <v>30</v>
      </c>
      <c r="N492" s="28">
        <f t="shared" si="10"/>
        <v>130</v>
      </c>
      <c r="O492" s="34"/>
      <c r="P492" s="8"/>
      <c r="Q492" s="8" t="s">
        <v>2836</v>
      </c>
      <c r="R492" s="8" t="s">
        <v>395</v>
      </c>
      <c r="S492" s="84" t="s">
        <v>2837</v>
      </c>
      <c r="T492" s="8"/>
      <c r="U492" s="8" t="s">
        <v>2838</v>
      </c>
      <c r="V492" s="8" t="s">
        <v>2839</v>
      </c>
    </row>
    <row r="493" spans="2:22" ht="15" customHeight="1" x14ac:dyDescent="0.3">
      <c r="B493" s="22">
        <v>486</v>
      </c>
      <c r="C493" s="8" t="s">
        <v>15</v>
      </c>
      <c r="D493" s="8" t="s">
        <v>2840</v>
      </c>
      <c r="E493" s="120" t="s">
        <v>2841</v>
      </c>
      <c r="F493" s="8" t="s">
        <v>390</v>
      </c>
      <c r="G493" s="8" t="s">
        <v>2842</v>
      </c>
      <c r="H493" s="8" t="s">
        <v>2843</v>
      </c>
      <c r="I493" s="8" t="s">
        <v>51</v>
      </c>
      <c r="J493" s="42">
        <v>2018</v>
      </c>
      <c r="K493" s="8"/>
      <c r="L493" s="28">
        <v>50</v>
      </c>
      <c r="M493" s="28"/>
      <c r="N493" s="28">
        <f t="shared" si="10"/>
        <v>50</v>
      </c>
      <c r="O493" s="34"/>
      <c r="P493" s="8"/>
      <c r="Q493" s="8"/>
      <c r="R493" s="8" t="s">
        <v>1259</v>
      </c>
      <c r="S493" s="84" t="s">
        <v>2844</v>
      </c>
      <c r="T493" s="8"/>
      <c r="U493" s="8" t="s">
        <v>2845</v>
      </c>
      <c r="V493" s="8" t="s">
        <v>2846</v>
      </c>
    </row>
    <row r="494" spans="2:22" ht="15" customHeight="1" x14ac:dyDescent="0.3">
      <c r="B494" s="22">
        <v>487</v>
      </c>
      <c r="C494" s="8" t="s">
        <v>15</v>
      </c>
      <c r="D494" s="8" t="s">
        <v>2840</v>
      </c>
      <c r="E494" s="8" t="s">
        <v>2847</v>
      </c>
      <c r="F494" s="8" t="s">
        <v>1792</v>
      </c>
      <c r="G494" s="8" t="s">
        <v>2848</v>
      </c>
      <c r="H494" s="8" t="s">
        <v>2849</v>
      </c>
      <c r="I494" s="8" t="s">
        <v>51</v>
      </c>
      <c r="J494" s="42">
        <v>1989</v>
      </c>
      <c r="K494" s="8"/>
      <c r="L494" s="28">
        <v>800</v>
      </c>
      <c r="M494" s="28"/>
      <c r="N494" s="28">
        <f t="shared" si="10"/>
        <v>800</v>
      </c>
      <c r="O494" s="34"/>
      <c r="P494" s="115"/>
      <c r="Q494" s="8" t="s">
        <v>2850</v>
      </c>
      <c r="R494" s="8" t="s">
        <v>42</v>
      </c>
      <c r="S494" s="84" t="s">
        <v>2851</v>
      </c>
      <c r="T494" s="115"/>
      <c r="U494" s="8" t="s">
        <v>2852</v>
      </c>
      <c r="V494" s="8" t="s">
        <v>2853</v>
      </c>
    </row>
    <row r="495" spans="2:22" ht="15" customHeight="1" x14ac:dyDescent="0.3">
      <c r="B495" s="22">
        <v>488</v>
      </c>
      <c r="C495" s="8" t="s">
        <v>15</v>
      </c>
      <c r="D495" s="8" t="s">
        <v>2840</v>
      </c>
      <c r="E495" s="8" t="s">
        <v>2854</v>
      </c>
      <c r="F495" s="8" t="s">
        <v>2513</v>
      </c>
      <c r="G495" s="8" t="s">
        <v>2855</v>
      </c>
      <c r="H495" s="8" t="s">
        <v>2856</v>
      </c>
      <c r="I495" s="8" t="s">
        <v>51</v>
      </c>
      <c r="J495" s="42">
        <v>2015</v>
      </c>
      <c r="K495" s="8"/>
      <c r="L495" s="28">
        <v>884</v>
      </c>
      <c r="M495" s="28"/>
      <c r="N495" s="28">
        <f t="shared" si="10"/>
        <v>884</v>
      </c>
      <c r="O495" s="34"/>
      <c r="P495" s="8"/>
      <c r="Q495" s="8" t="s">
        <v>2850</v>
      </c>
      <c r="R495" s="8" t="s">
        <v>42</v>
      </c>
      <c r="S495" s="84" t="s">
        <v>2851</v>
      </c>
      <c r="T495" s="8"/>
      <c r="U495" s="8" t="s">
        <v>2857</v>
      </c>
      <c r="V495" s="8" t="s">
        <v>2858</v>
      </c>
    </row>
    <row r="496" spans="2:22" ht="15" customHeight="1" x14ac:dyDescent="0.3">
      <c r="B496" s="22">
        <v>489</v>
      </c>
      <c r="C496" s="8" t="s">
        <v>15</v>
      </c>
      <c r="D496" s="8" t="s">
        <v>2840</v>
      </c>
      <c r="E496" s="8" t="s">
        <v>2859</v>
      </c>
      <c r="F496" s="8" t="s">
        <v>95</v>
      </c>
      <c r="G496" s="8" t="s">
        <v>2860</v>
      </c>
      <c r="H496" s="8" t="s">
        <v>2861</v>
      </c>
      <c r="I496" s="8" t="s">
        <v>51</v>
      </c>
      <c r="J496" s="42">
        <v>2021</v>
      </c>
      <c r="K496" s="8"/>
      <c r="L496" s="28">
        <v>50</v>
      </c>
      <c r="M496" s="28"/>
      <c r="N496" s="28">
        <f t="shared" si="10"/>
        <v>50</v>
      </c>
      <c r="O496" s="34"/>
      <c r="P496" s="8"/>
      <c r="Q496" s="8"/>
      <c r="R496" s="8"/>
      <c r="S496" s="84"/>
      <c r="T496" s="8"/>
      <c r="U496" s="8" t="s">
        <v>2862</v>
      </c>
      <c r="V496" s="8" t="s">
        <v>2863</v>
      </c>
    </row>
    <row r="497" spans="2:22" ht="15" customHeight="1" x14ac:dyDescent="0.3">
      <c r="B497" s="22">
        <v>490</v>
      </c>
      <c r="C497" s="8" t="s">
        <v>15</v>
      </c>
      <c r="D497" s="8" t="s">
        <v>2864</v>
      </c>
      <c r="E497" s="8" t="s">
        <v>2865</v>
      </c>
      <c r="F497" s="8" t="s">
        <v>86</v>
      </c>
      <c r="G497" s="8" t="s">
        <v>2866</v>
      </c>
      <c r="H497" s="8" t="s">
        <v>2867</v>
      </c>
      <c r="I497" s="8" t="s">
        <v>67</v>
      </c>
      <c r="J497" s="42">
        <v>1997</v>
      </c>
      <c r="K497" s="8"/>
      <c r="L497" s="28">
        <v>140</v>
      </c>
      <c r="M497" s="28"/>
      <c r="N497" s="28">
        <f t="shared" si="10"/>
        <v>140</v>
      </c>
      <c r="O497" s="34"/>
      <c r="P497" s="8"/>
      <c r="Q497" s="8" t="s">
        <v>2868</v>
      </c>
      <c r="R497" s="8" t="s">
        <v>42</v>
      </c>
      <c r="S497" s="84" t="s">
        <v>2869</v>
      </c>
      <c r="T497" s="8"/>
      <c r="U497" s="8" t="s">
        <v>2870</v>
      </c>
      <c r="V497" s="8" t="s">
        <v>2871</v>
      </c>
    </row>
    <row r="498" spans="2:22" ht="15" customHeight="1" x14ac:dyDescent="0.3">
      <c r="B498" s="22">
        <v>491</v>
      </c>
      <c r="C498" s="8" t="s">
        <v>15</v>
      </c>
      <c r="D498" s="8" t="s">
        <v>2864</v>
      </c>
      <c r="E498" s="8" t="s">
        <v>2872</v>
      </c>
      <c r="F498" s="8" t="s">
        <v>86</v>
      </c>
      <c r="G498" s="8" t="s">
        <v>2873</v>
      </c>
      <c r="H498" s="8" t="s">
        <v>2867</v>
      </c>
      <c r="I498" s="8" t="s">
        <v>67</v>
      </c>
      <c r="J498" s="42">
        <v>2022</v>
      </c>
      <c r="K498" s="8"/>
      <c r="L498" s="28">
        <v>140</v>
      </c>
      <c r="M498" s="28"/>
      <c r="N498" s="28">
        <f t="shared" si="10"/>
        <v>140</v>
      </c>
      <c r="O498" s="34"/>
      <c r="P498" s="8"/>
      <c r="Q498" s="8" t="s">
        <v>2868</v>
      </c>
      <c r="R498" s="8" t="s">
        <v>42</v>
      </c>
      <c r="S498" s="84" t="s">
        <v>2869</v>
      </c>
      <c r="T498" s="8"/>
      <c r="U498" s="8" t="s">
        <v>2870</v>
      </c>
      <c r="V498" s="8" t="s">
        <v>2871</v>
      </c>
    </row>
    <row r="499" spans="2:22" ht="15" customHeight="1" x14ac:dyDescent="0.3">
      <c r="B499" s="22">
        <v>492</v>
      </c>
      <c r="C499" s="8" t="s">
        <v>15</v>
      </c>
      <c r="D499" s="8" t="s">
        <v>2874</v>
      </c>
      <c r="E499" s="8" t="s">
        <v>2875</v>
      </c>
      <c r="F499" s="8" t="s">
        <v>55</v>
      </c>
      <c r="G499" s="8" t="s">
        <v>2876</v>
      </c>
      <c r="H499" s="8" t="s">
        <v>2877</v>
      </c>
      <c r="I499" s="8" t="s">
        <v>235</v>
      </c>
      <c r="J499" s="42">
        <v>1992</v>
      </c>
      <c r="K499" s="8"/>
      <c r="L499" s="28">
        <v>560</v>
      </c>
      <c r="M499" s="28">
        <v>0</v>
      </c>
      <c r="N499" s="28">
        <f t="shared" si="10"/>
        <v>560</v>
      </c>
      <c r="O499" s="34"/>
      <c r="P499" s="8"/>
      <c r="Q499" s="8" t="s">
        <v>2878</v>
      </c>
      <c r="R499" s="8"/>
      <c r="S499" s="84" t="s">
        <v>2879</v>
      </c>
      <c r="T499" s="8"/>
      <c r="U499" s="8" t="s">
        <v>2880</v>
      </c>
      <c r="V499" s="8" t="s">
        <v>2881</v>
      </c>
    </row>
    <row r="500" spans="2:22" ht="15" customHeight="1" x14ac:dyDescent="0.3">
      <c r="B500" s="22">
        <v>493</v>
      </c>
      <c r="C500" s="8" t="s">
        <v>15</v>
      </c>
      <c r="D500" s="8" t="s">
        <v>2864</v>
      </c>
      <c r="E500" s="8" t="s">
        <v>2882</v>
      </c>
      <c r="F500" s="8" t="s">
        <v>2883</v>
      </c>
      <c r="G500" s="8" t="s">
        <v>422</v>
      </c>
      <c r="H500" s="8" t="s">
        <v>2884</v>
      </c>
      <c r="I500" s="8" t="s">
        <v>67</v>
      </c>
      <c r="J500" s="42">
        <v>1995</v>
      </c>
      <c r="K500" s="8"/>
      <c r="L500" s="28">
        <v>215</v>
      </c>
      <c r="M500" s="28">
        <v>0</v>
      </c>
      <c r="N500" s="28">
        <f t="shared" si="10"/>
        <v>215</v>
      </c>
      <c r="O500" s="34"/>
      <c r="P500" s="8"/>
      <c r="Q500" s="8"/>
      <c r="R500" s="8"/>
      <c r="S500" s="84"/>
      <c r="T500" s="8"/>
      <c r="U500" s="8" t="s">
        <v>2885</v>
      </c>
      <c r="V500" s="8" t="s">
        <v>2886</v>
      </c>
    </row>
    <row r="501" spans="2:22" ht="15" customHeight="1" x14ac:dyDescent="0.3">
      <c r="B501" s="22">
        <v>494</v>
      </c>
      <c r="C501" s="8" t="s">
        <v>2887</v>
      </c>
      <c r="D501" s="8" t="s">
        <v>2874</v>
      </c>
      <c r="E501" s="8" t="s">
        <v>2888</v>
      </c>
      <c r="F501" s="8" t="s">
        <v>55</v>
      </c>
      <c r="G501" s="8" t="s">
        <v>2876</v>
      </c>
      <c r="H501" s="8" t="s">
        <v>2889</v>
      </c>
      <c r="I501" s="8" t="s">
        <v>235</v>
      </c>
      <c r="J501" s="42">
        <v>2019</v>
      </c>
      <c r="K501" s="8"/>
      <c r="L501" s="28">
        <v>200</v>
      </c>
      <c r="M501" s="28">
        <v>0</v>
      </c>
      <c r="N501" s="28">
        <f t="shared" si="10"/>
        <v>200</v>
      </c>
      <c r="O501" s="8"/>
      <c r="P501" s="8"/>
      <c r="Q501" s="8"/>
      <c r="R501" s="8"/>
      <c r="S501" s="84"/>
      <c r="T501" s="8"/>
      <c r="U501" s="8" t="s">
        <v>2890</v>
      </c>
      <c r="V501" s="8" t="s">
        <v>2891</v>
      </c>
    </row>
    <row r="502" spans="2:22" ht="15" customHeight="1" x14ac:dyDescent="0.3">
      <c r="B502" s="22">
        <v>495</v>
      </c>
      <c r="C502" s="49" t="s">
        <v>2892</v>
      </c>
      <c r="D502" s="49"/>
      <c r="E502" s="51" t="s">
        <v>2893</v>
      </c>
      <c r="F502" s="51" t="s">
        <v>2894</v>
      </c>
      <c r="G502" s="51" t="s">
        <v>2895</v>
      </c>
      <c r="H502" s="51" t="s">
        <v>2896</v>
      </c>
      <c r="I502" s="51" t="s">
        <v>2897</v>
      </c>
      <c r="J502" s="51">
        <v>2008</v>
      </c>
      <c r="K502" s="52">
        <v>0</v>
      </c>
      <c r="L502" s="52">
        <v>1600</v>
      </c>
      <c r="M502" s="52">
        <v>0</v>
      </c>
      <c r="N502" s="52">
        <f t="shared" ref="N502:N565" si="11">SUM(K502:M502)</f>
        <v>1600</v>
      </c>
      <c r="O502" s="52">
        <v>132647</v>
      </c>
      <c r="P502" s="53">
        <v>0</v>
      </c>
      <c r="Q502" s="51" t="s">
        <v>2898</v>
      </c>
      <c r="R502" s="51" t="s">
        <v>2899</v>
      </c>
      <c r="S502" s="141" t="s">
        <v>2900</v>
      </c>
      <c r="T502" s="54"/>
      <c r="U502" s="49" t="s">
        <v>2901</v>
      </c>
      <c r="V502" s="51" t="s">
        <v>2902</v>
      </c>
    </row>
    <row r="503" spans="2:22" ht="15" customHeight="1" x14ac:dyDescent="0.3">
      <c r="B503" s="22">
        <v>496</v>
      </c>
      <c r="C503" s="8" t="s">
        <v>13</v>
      </c>
      <c r="D503" s="8"/>
      <c r="E503" s="55" t="s">
        <v>2903</v>
      </c>
      <c r="F503" s="56" t="s">
        <v>2904</v>
      </c>
      <c r="G503" s="55" t="s">
        <v>2905</v>
      </c>
      <c r="H503" s="55" t="s">
        <v>2906</v>
      </c>
      <c r="I503" s="55" t="s">
        <v>67</v>
      </c>
      <c r="J503" s="55">
        <v>1994</v>
      </c>
      <c r="K503" s="57">
        <v>0</v>
      </c>
      <c r="L503" s="57">
        <v>1077</v>
      </c>
      <c r="M503" s="57">
        <v>0</v>
      </c>
      <c r="N503" s="52">
        <f t="shared" si="11"/>
        <v>1077</v>
      </c>
      <c r="O503" s="57">
        <v>31223</v>
      </c>
      <c r="P503" s="57">
        <v>0</v>
      </c>
      <c r="Q503" s="55" t="s">
        <v>2907</v>
      </c>
      <c r="R503" s="55" t="s">
        <v>42</v>
      </c>
      <c r="S503" s="84" t="s">
        <v>2908</v>
      </c>
      <c r="T503" s="8"/>
      <c r="U503" s="8" t="s">
        <v>2909</v>
      </c>
      <c r="V503" s="55" t="s">
        <v>2910</v>
      </c>
    </row>
    <row r="504" spans="2:22" ht="15" customHeight="1" x14ac:dyDescent="0.3">
      <c r="B504" s="22">
        <v>497</v>
      </c>
      <c r="C504" s="22" t="s">
        <v>13</v>
      </c>
      <c r="D504" s="58" t="s">
        <v>2911</v>
      </c>
      <c r="E504" s="59" t="s">
        <v>2912</v>
      </c>
      <c r="F504" s="59" t="s">
        <v>95</v>
      </c>
      <c r="G504" s="59" t="s">
        <v>2913</v>
      </c>
      <c r="H504" s="59" t="s">
        <v>2914</v>
      </c>
      <c r="I504" s="59" t="s">
        <v>51</v>
      </c>
      <c r="J504" s="59">
        <v>1996</v>
      </c>
      <c r="K504" s="60">
        <v>100</v>
      </c>
      <c r="L504" s="60">
        <v>100</v>
      </c>
      <c r="M504" s="60">
        <v>0</v>
      </c>
      <c r="N504" s="61">
        <f t="shared" si="11"/>
        <v>200</v>
      </c>
      <c r="O504" s="60">
        <v>0</v>
      </c>
      <c r="P504" s="60">
        <v>0</v>
      </c>
      <c r="Q504" s="59" t="s">
        <v>2915</v>
      </c>
      <c r="R504" s="59" t="s">
        <v>888</v>
      </c>
      <c r="S504" s="88" t="s">
        <v>2916</v>
      </c>
      <c r="T504" s="22" t="s">
        <v>43</v>
      </c>
      <c r="U504" s="22" t="s">
        <v>2917</v>
      </c>
      <c r="V504" s="59" t="s">
        <v>2918</v>
      </c>
    </row>
    <row r="505" spans="2:22" ht="15" customHeight="1" x14ac:dyDescent="0.3">
      <c r="B505" s="22">
        <v>498</v>
      </c>
      <c r="C505" s="22" t="s">
        <v>13</v>
      </c>
      <c r="D505" s="58" t="s">
        <v>2911</v>
      </c>
      <c r="E505" s="55" t="s">
        <v>2919</v>
      </c>
      <c r="F505" s="55" t="s">
        <v>95</v>
      </c>
      <c r="G505" s="55" t="s">
        <v>2920</v>
      </c>
      <c r="H505" s="55" t="s">
        <v>2921</v>
      </c>
      <c r="I505" s="55" t="s">
        <v>51</v>
      </c>
      <c r="J505" s="55">
        <v>2006</v>
      </c>
      <c r="K505" s="57">
        <v>400</v>
      </c>
      <c r="L505" s="57">
        <v>400</v>
      </c>
      <c r="M505" s="57">
        <v>0</v>
      </c>
      <c r="N505" s="52">
        <f t="shared" si="11"/>
        <v>800</v>
      </c>
      <c r="O505" s="57">
        <v>25851</v>
      </c>
      <c r="P505" s="57">
        <v>0</v>
      </c>
      <c r="Q505" s="55" t="s">
        <v>2915</v>
      </c>
      <c r="R505" s="55" t="s">
        <v>888</v>
      </c>
      <c r="S505" s="84" t="s">
        <v>2916</v>
      </c>
      <c r="T505" s="8" t="s">
        <v>43</v>
      </c>
      <c r="U505" s="8" t="s">
        <v>2922</v>
      </c>
      <c r="V505" s="55" t="s">
        <v>2923</v>
      </c>
    </row>
    <row r="506" spans="2:22" ht="15" customHeight="1" x14ac:dyDescent="0.3">
      <c r="B506" s="22">
        <v>499</v>
      </c>
      <c r="C506" s="22" t="s">
        <v>13</v>
      </c>
      <c r="D506" s="58" t="s">
        <v>2924</v>
      </c>
      <c r="E506" s="59" t="s">
        <v>2925</v>
      </c>
      <c r="F506" s="59" t="s">
        <v>95</v>
      </c>
      <c r="G506" s="59" t="s">
        <v>2926</v>
      </c>
      <c r="H506" s="59" t="s">
        <v>2927</v>
      </c>
      <c r="I506" s="59" t="s">
        <v>67</v>
      </c>
      <c r="J506" s="59">
        <v>1993</v>
      </c>
      <c r="K506" s="60">
        <v>0</v>
      </c>
      <c r="L506" s="60">
        <v>0</v>
      </c>
      <c r="M506" s="60">
        <v>70</v>
      </c>
      <c r="N506" s="61">
        <f t="shared" si="11"/>
        <v>70</v>
      </c>
      <c r="O506" s="60" t="s">
        <v>68</v>
      </c>
      <c r="P506" s="60" t="s">
        <v>68</v>
      </c>
      <c r="Q506" s="59" t="s">
        <v>2928</v>
      </c>
      <c r="R506" s="59" t="s">
        <v>888</v>
      </c>
      <c r="S506" s="88" t="s">
        <v>2929</v>
      </c>
      <c r="T506" s="22"/>
      <c r="U506" s="22" t="s">
        <v>2930</v>
      </c>
      <c r="V506" s="59" t="s">
        <v>2931</v>
      </c>
    </row>
    <row r="507" spans="2:22" ht="15" customHeight="1" x14ac:dyDescent="0.3">
      <c r="B507" s="22">
        <v>500</v>
      </c>
      <c r="C507" s="22" t="s">
        <v>13</v>
      </c>
      <c r="D507" s="58" t="s">
        <v>2924</v>
      </c>
      <c r="E507" s="55" t="s">
        <v>2932</v>
      </c>
      <c r="F507" s="55" t="s">
        <v>50</v>
      </c>
      <c r="G507" s="55" t="s">
        <v>2933</v>
      </c>
      <c r="H507" s="55" t="s">
        <v>2934</v>
      </c>
      <c r="I507" s="55" t="s">
        <v>67</v>
      </c>
      <c r="J507" s="55">
        <v>1967</v>
      </c>
      <c r="K507" s="57">
        <v>0</v>
      </c>
      <c r="L507" s="57">
        <v>0</v>
      </c>
      <c r="M507" s="57">
        <v>855</v>
      </c>
      <c r="N507" s="61">
        <f t="shared" si="11"/>
        <v>855</v>
      </c>
      <c r="O507" s="60" t="s">
        <v>68</v>
      </c>
      <c r="P507" s="60" t="s">
        <v>68</v>
      </c>
      <c r="Q507" s="55" t="s">
        <v>2935</v>
      </c>
      <c r="R507" s="59" t="s">
        <v>888</v>
      </c>
      <c r="S507" s="88" t="s">
        <v>2929</v>
      </c>
      <c r="T507" s="8"/>
      <c r="U507" s="8" t="s">
        <v>2936</v>
      </c>
      <c r="V507" s="55" t="s">
        <v>2937</v>
      </c>
    </row>
    <row r="508" spans="2:22" ht="15" customHeight="1" x14ac:dyDescent="0.3">
      <c r="B508" s="22">
        <v>501</v>
      </c>
      <c r="C508" s="22" t="s">
        <v>13</v>
      </c>
      <c r="D508" s="58" t="s">
        <v>2924</v>
      </c>
      <c r="E508" s="55" t="s">
        <v>2938</v>
      </c>
      <c r="F508" s="55" t="s">
        <v>1243</v>
      </c>
      <c r="G508" s="55" t="s">
        <v>2939</v>
      </c>
      <c r="H508" s="55" t="s">
        <v>2940</v>
      </c>
      <c r="I508" s="55" t="s">
        <v>67</v>
      </c>
      <c r="J508" s="55">
        <v>2001</v>
      </c>
      <c r="K508" s="57">
        <v>0</v>
      </c>
      <c r="L508" s="57">
        <v>0</v>
      </c>
      <c r="M508" s="57">
        <v>50</v>
      </c>
      <c r="N508" s="61">
        <f t="shared" si="11"/>
        <v>50</v>
      </c>
      <c r="O508" s="60" t="s">
        <v>68</v>
      </c>
      <c r="P508" s="60" t="s">
        <v>68</v>
      </c>
      <c r="Q508" s="55" t="s">
        <v>2941</v>
      </c>
      <c r="R508" s="59" t="s">
        <v>888</v>
      </c>
      <c r="S508" s="88" t="s">
        <v>2929</v>
      </c>
      <c r="T508" s="8"/>
      <c r="U508" s="8" t="s">
        <v>2930</v>
      </c>
      <c r="V508" s="55" t="s">
        <v>2931</v>
      </c>
    </row>
    <row r="509" spans="2:22" ht="15" customHeight="1" x14ac:dyDescent="0.3">
      <c r="B509" s="22">
        <v>502</v>
      </c>
      <c r="C509" s="22" t="s">
        <v>13</v>
      </c>
      <c r="D509" s="58" t="s">
        <v>2924</v>
      </c>
      <c r="E509" s="55" t="s">
        <v>2942</v>
      </c>
      <c r="F509" s="55" t="s">
        <v>55</v>
      </c>
      <c r="G509" s="55" t="s">
        <v>2376</v>
      </c>
      <c r="H509" s="55" t="s">
        <v>2943</v>
      </c>
      <c r="I509" s="55" t="s">
        <v>67</v>
      </c>
      <c r="J509" s="55">
        <v>2016</v>
      </c>
      <c r="K509" s="57">
        <v>0</v>
      </c>
      <c r="L509" s="57">
        <v>0</v>
      </c>
      <c r="M509" s="57">
        <v>410</v>
      </c>
      <c r="N509" s="61">
        <f t="shared" si="11"/>
        <v>410</v>
      </c>
      <c r="O509" s="60" t="s">
        <v>68</v>
      </c>
      <c r="P509" s="60" t="s">
        <v>68</v>
      </c>
      <c r="Q509" s="55" t="s">
        <v>2944</v>
      </c>
      <c r="R509" s="59" t="s">
        <v>888</v>
      </c>
      <c r="S509" s="84" t="s">
        <v>2929</v>
      </c>
      <c r="T509" s="8"/>
      <c r="U509" s="8" t="s">
        <v>2936</v>
      </c>
      <c r="V509" s="55" t="s">
        <v>2937</v>
      </c>
    </row>
    <row r="510" spans="2:22" ht="15" customHeight="1" x14ac:dyDescent="0.3">
      <c r="B510" s="22">
        <v>503</v>
      </c>
      <c r="C510" s="22" t="s">
        <v>13</v>
      </c>
      <c r="D510" s="58" t="s">
        <v>2924</v>
      </c>
      <c r="E510" s="55" t="s">
        <v>2945</v>
      </c>
      <c r="F510" s="55" t="s">
        <v>95</v>
      </c>
      <c r="G510" s="55" t="s">
        <v>2946</v>
      </c>
      <c r="H510" s="55" t="s">
        <v>2947</v>
      </c>
      <c r="I510" s="55" t="s">
        <v>67</v>
      </c>
      <c r="J510" s="55">
        <v>2009</v>
      </c>
      <c r="K510" s="57">
        <v>0</v>
      </c>
      <c r="L510" s="57">
        <v>0</v>
      </c>
      <c r="M510" s="57">
        <v>60</v>
      </c>
      <c r="N510" s="61">
        <f t="shared" si="11"/>
        <v>60</v>
      </c>
      <c r="O510" s="60" t="s">
        <v>68</v>
      </c>
      <c r="P510" s="60" t="s">
        <v>68</v>
      </c>
      <c r="Q510" s="55" t="s">
        <v>2948</v>
      </c>
      <c r="R510" s="59" t="s">
        <v>888</v>
      </c>
      <c r="S510" s="84" t="s">
        <v>2929</v>
      </c>
      <c r="T510" s="8"/>
      <c r="U510" s="8" t="s">
        <v>2930</v>
      </c>
      <c r="V510" s="55" t="s">
        <v>2931</v>
      </c>
    </row>
    <row r="511" spans="2:22" ht="15" customHeight="1" x14ac:dyDescent="0.3">
      <c r="B511" s="22">
        <v>504</v>
      </c>
      <c r="C511" s="22" t="s">
        <v>13</v>
      </c>
      <c r="D511" s="58" t="s">
        <v>2924</v>
      </c>
      <c r="E511" s="55" t="s">
        <v>2949</v>
      </c>
      <c r="F511" s="55" t="s">
        <v>50</v>
      </c>
      <c r="G511" s="55" t="s">
        <v>2788</v>
      </c>
      <c r="H511" s="55" t="s">
        <v>2950</v>
      </c>
      <c r="I511" s="55" t="s">
        <v>67</v>
      </c>
      <c r="J511" s="55">
        <v>2018</v>
      </c>
      <c r="K511" s="57">
        <v>0</v>
      </c>
      <c r="L511" s="57">
        <v>0</v>
      </c>
      <c r="M511" s="57">
        <v>300</v>
      </c>
      <c r="N511" s="61">
        <f t="shared" si="11"/>
        <v>300</v>
      </c>
      <c r="O511" s="60" t="s">
        <v>68</v>
      </c>
      <c r="P511" s="60" t="s">
        <v>68</v>
      </c>
      <c r="Q511" s="55" t="s">
        <v>2951</v>
      </c>
      <c r="R511" s="59" t="s">
        <v>888</v>
      </c>
      <c r="S511" s="84" t="s">
        <v>2929</v>
      </c>
      <c r="T511" s="8"/>
      <c r="U511" s="8" t="s">
        <v>2936</v>
      </c>
      <c r="V511" s="55" t="s">
        <v>2937</v>
      </c>
    </row>
    <row r="512" spans="2:22" ht="15" customHeight="1" x14ac:dyDescent="0.3">
      <c r="B512" s="22">
        <v>505</v>
      </c>
      <c r="C512" s="8" t="s">
        <v>13</v>
      </c>
      <c r="D512" s="49" t="s">
        <v>2924</v>
      </c>
      <c r="E512" s="55" t="s">
        <v>2952</v>
      </c>
      <c r="F512" s="55" t="s">
        <v>95</v>
      </c>
      <c r="G512" s="55" t="s">
        <v>2953</v>
      </c>
      <c r="H512" s="55" t="s">
        <v>2954</v>
      </c>
      <c r="I512" s="55" t="s">
        <v>67</v>
      </c>
      <c r="J512" s="55">
        <v>1996</v>
      </c>
      <c r="K512" s="57">
        <v>0</v>
      </c>
      <c r="L512" s="57">
        <v>0</v>
      </c>
      <c r="M512" s="57">
        <v>60</v>
      </c>
      <c r="N512" s="52">
        <f t="shared" si="11"/>
        <v>60</v>
      </c>
      <c r="O512" s="57">
        <v>99</v>
      </c>
      <c r="P512" s="57" t="s">
        <v>68</v>
      </c>
      <c r="Q512" s="55" t="s">
        <v>2955</v>
      </c>
      <c r="R512" s="55" t="s">
        <v>888</v>
      </c>
      <c r="S512" s="84" t="s">
        <v>2929</v>
      </c>
      <c r="T512" s="8"/>
      <c r="U512" s="8" t="s">
        <v>2936</v>
      </c>
      <c r="V512" s="55" t="s">
        <v>2937</v>
      </c>
    </row>
    <row r="513" spans="2:22" ht="15" customHeight="1" x14ac:dyDescent="0.3">
      <c r="B513" s="22">
        <v>506</v>
      </c>
      <c r="C513" s="8" t="s">
        <v>13</v>
      </c>
      <c r="D513" s="49" t="s">
        <v>2956</v>
      </c>
      <c r="E513" s="55" t="s">
        <v>2957</v>
      </c>
      <c r="F513" s="55" t="s">
        <v>55</v>
      </c>
      <c r="G513" s="55" t="s">
        <v>2958</v>
      </c>
      <c r="H513" s="55" t="s">
        <v>2959</v>
      </c>
      <c r="I513" s="55" t="s">
        <v>51</v>
      </c>
      <c r="J513" s="55">
        <v>2016</v>
      </c>
      <c r="K513" s="57">
        <v>0</v>
      </c>
      <c r="L513" s="57">
        <v>620</v>
      </c>
      <c r="M513" s="57">
        <v>0</v>
      </c>
      <c r="N513" s="61">
        <f t="shared" si="11"/>
        <v>620</v>
      </c>
      <c r="O513" s="57">
        <v>225300</v>
      </c>
      <c r="P513" s="57" t="s">
        <v>68</v>
      </c>
      <c r="Q513" s="55" t="s">
        <v>2960</v>
      </c>
      <c r="R513" s="55"/>
      <c r="S513" s="84"/>
      <c r="T513" s="8"/>
      <c r="U513" s="8" t="s">
        <v>2961</v>
      </c>
      <c r="V513" s="55" t="s">
        <v>2962</v>
      </c>
    </row>
    <row r="514" spans="2:22" ht="15" customHeight="1" x14ac:dyDescent="0.3">
      <c r="B514" s="22">
        <v>507</v>
      </c>
      <c r="C514" s="22" t="s">
        <v>13</v>
      </c>
      <c r="D514" s="22" t="s">
        <v>2956</v>
      </c>
      <c r="E514" s="59" t="s">
        <v>2963</v>
      </c>
      <c r="F514" s="59" t="s">
        <v>95</v>
      </c>
      <c r="G514" s="59" t="s">
        <v>2964</v>
      </c>
      <c r="H514" s="59" t="s">
        <v>2965</v>
      </c>
      <c r="I514" s="59" t="s">
        <v>51</v>
      </c>
      <c r="J514" s="59">
        <v>1997</v>
      </c>
      <c r="K514" s="60">
        <v>0</v>
      </c>
      <c r="L514" s="60">
        <v>70</v>
      </c>
      <c r="M514" s="60">
        <v>0</v>
      </c>
      <c r="N514" s="61">
        <f t="shared" si="11"/>
        <v>70</v>
      </c>
      <c r="O514" s="60">
        <v>6000</v>
      </c>
      <c r="P514" s="60" t="s">
        <v>68</v>
      </c>
      <c r="Q514" s="55" t="s">
        <v>2960</v>
      </c>
      <c r="R514" s="59"/>
      <c r="S514" s="88"/>
      <c r="T514" s="22"/>
      <c r="U514" s="22" t="s">
        <v>2966</v>
      </c>
      <c r="V514" s="59" t="s">
        <v>2967</v>
      </c>
    </row>
    <row r="515" spans="2:22" ht="15" customHeight="1" x14ac:dyDescent="0.3">
      <c r="B515" s="22">
        <v>508</v>
      </c>
      <c r="C515" s="8" t="s">
        <v>13</v>
      </c>
      <c r="D515" s="8" t="s">
        <v>2956</v>
      </c>
      <c r="E515" s="55" t="s">
        <v>2968</v>
      </c>
      <c r="F515" s="62" t="s">
        <v>2969</v>
      </c>
      <c r="G515" s="55" t="s">
        <v>2970</v>
      </c>
      <c r="H515" s="55" t="s">
        <v>2971</v>
      </c>
      <c r="I515" s="55" t="s">
        <v>51</v>
      </c>
      <c r="J515" s="55">
        <v>1993</v>
      </c>
      <c r="K515" s="57" t="s">
        <v>68</v>
      </c>
      <c r="L515" s="57">
        <v>210</v>
      </c>
      <c r="M515" s="57" t="s">
        <v>68</v>
      </c>
      <c r="N515" s="61">
        <f t="shared" si="11"/>
        <v>210</v>
      </c>
      <c r="O515" s="57">
        <v>135458</v>
      </c>
      <c r="P515" s="57" t="s">
        <v>68</v>
      </c>
      <c r="Q515" s="55" t="s">
        <v>2972</v>
      </c>
      <c r="R515" s="55" t="s">
        <v>173</v>
      </c>
      <c r="S515" s="84" t="s">
        <v>2973</v>
      </c>
      <c r="T515" s="8"/>
      <c r="U515" s="8" t="s">
        <v>2654</v>
      </c>
      <c r="V515" s="55" t="s">
        <v>2974</v>
      </c>
    </row>
    <row r="516" spans="2:22" ht="15" customHeight="1" x14ac:dyDescent="0.3">
      <c r="B516" s="22">
        <v>509</v>
      </c>
      <c r="C516" s="22" t="s">
        <v>13</v>
      </c>
      <c r="D516" s="22" t="s">
        <v>2956</v>
      </c>
      <c r="E516" s="59" t="s">
        <v>2975</v>
      </c>
      <c r="F516" s="59" t="s">
        <v>390</v>
      </c>
      <c r="G516" s="59" t="s">
        <v>2976</v>
      </c>
      <c r="H516" s="59" t="s">
        <v>2977</v>
      </c>
      <c r="I516" s="59" t="s">
        <v>51</v>
      </c>
      <c r="J516" s="59">
        <v>2003</v>
      </c>
      <c r="K516" s="60">
        <v>0</v>
      </c>
      <c r="L516" s="60">
        <v>32</v>
      </c>
      <c r="M516" s="60">
        <v>32</v>
      </c>
      <c r="N516" s="61">
        <f t="shared" si="11"/>
        <v>64</v>
      </c>
      <c r="O516" s="60">
        <v>0</v>
      </c>
      <c r="P516" s="63" t="s">
        <v>68</v>
      </c>
      <c r="Q516" s="59" t="s">
        <v>2978</v>
      </c>
      <c r="R516" s="59" t="s">
        <v>888</v>
      </c>
      <c r="S516" s="134"/>
      <c r="T516" s="65"/>
      <c r="U516" s="22" t="s">
        <v>2979</v>
      </c>
      <c r="V516" s="59" t="s">
        <v>2980</v>
      </c>
    </row>
    <row r="517" spans="2:22" ht="15" customHeight="1" x14ac:dyDescent="0.3">
      <c r="B517" s="22">
        <v>510</v>
      </c>
      <c r="C517" s="66" t="s">
        <v>13</v>
      </c>
      <c r="D517" s="66" t="s">
        <v>2981</v>
      </c>
      <c r="E517" s="67" t="s">
        <v>2982</v>
      </c>
      <c r="F517" s="67" t="s">
        <v>55</v>
      </c>
      <c r="G517" s="67" t="s">
        <v>167</v>
      </c>
      <c r="H517" s="67" t="s">
        <v>2983</v>
      </c>
      <c r="I517" s="67" t="s">
        <v>51</v>
      </c>
      <c r="J517" s="67">
        <v>2015</v>
      </c>
      <c r="K517" s="60">
        <v>0</v>
      </c>
      <c r="L517" s="60">
        <v>590</v>
      </c>
      <c r="M517" s="60">
        <v>0</v>
      </c>
      <c r="N517" s="61">
        <f t="shared" si="11"/>
        <v>590</v>
      </c>
      <c r="O517" s="60">
        <v>0</v>
      </c>
      <c r="P517" s="60">
        <v>0</v>
      </c>
      <c r="Q517" s="67" t="s">
        <v>2984</v>
      </c>
      <c r="R517" s="59" t="s">
        <v>888</v>
      </c>
      <c r="S517" s="133" t="s">
        <v>2985</v>
      </c>
      <c r="T517" s="66"/>
      <c r="U517" s="66" t="s">
        <v>2986</v>
      </c>
      <c r="V517" s="67" t="s">
        <v>2987</v>
      </c>
    </row>
    <row r="518" spans="2:22" ht="15" customHeight="1" x14ac:dyDescent="0.3">
      <c r="B518" s="22">
        <v>511</v>
      </c>
      <c r="C518" s="66" t="s">
        <v>13</v>
      </c>
      <c r="D518" s="66" t="s">
        <v>2981</v>
      </c>
      <c r="E518" s="67" t="s">
        <v>2988</v>
      </c>
      <c r="F518" s="67" t="s">
        <v>390</v>
      </c>
      <c r="G518" s="67" t="s">
        <v>2557</v>
      </c>
      <c r="H518" s="67" t="s">
        <v>2989</v>
      </c>
      <c r="I518" s="67" t="s">
        <v>51</v>
      </c>
      <c r="J518" s="67">
        <v>2003</v>
      </c>
      <c r="K518" s="60">
        <v>0</v>
      </c>
      <c r="L518" s="60">
        <v>170</v>
      </c>
      <c r="M518" s="60">
        <v>0</v>
      </c>
      <c r="N518" s="61">
        <f t="shared" si="11"/>
        <v>170</v>
      </c>
      <c r="O518" s="60">
        <v>0</v>
      </c>
      <c r="P518" s="60">
        <v>0</v>
      </c>
      <c r="Q518" s="67" t="s">
        <v>2990</v>
      </c>
      <c r="R518" s="59" t="s">
        <v>888</v>
      </c>
      <c r="S518" s="133" t="s">
        <v>2985</v>
      </c>
      <c r="T518" s="66"/>
      <c r="U518" s="66" t="s">
        <v>2986</v>
      </c>
      <c r="V518" s="67" t="s">
        <v>2987</v>
      </c>
    </row>
    <row r="519" spans="2:22" ht="15" customHeight="1" x14ac:dyDescent="0.3">
      <c r="B519" s="22">
        <v>512</v>
      </c>
      <c r="C519" s="66" t="s">
        <v>13</v>
      </c>
      <c r="D519" s="66" t="s">
        <v>2981</v>
      </c>
      <c r="E519" s="67" t="s">
        <v>2991</v>
      </c>
      <c r="F519" s="67" t="s">
        <v>55</v>
      </c>
      <c r="G519" s="67" t="s">
        <v>178</v>
      </c>
      <c r="H519" s="67" t="s">
        <v>2992</v>
      </c>
      <c r="I519" s="67" t="s">
        <v>51</v>
      </c>
      <c r="J519" s="67">
        <v>2019</v>
      </c>
      <c r="K519" s="60">
        <v>0</v>
      </c>
      <c r="L519" s="60">
        <v>100</v>
      </c>
      <c r="M519" s="60">
        <v>0</v>
      </c>
      <c r="N519" s="61">
        <f t="shared" si="11"/>
        <v>100</v>
      </c>
      <c r="O519" s="60">
        <v>0</v>
      </c>
      <c r="P519" s="60">
        <v>0</v>
      </c>
      <c r="Q519" s="67" t="s">
        <v>2993</v>
      </c>
      <c r="R519" s="59" t="s">
        <v>888</v>
      </c>
      <c r="S519" s="133" t="s">
        <v>2985</v>
      </c>
      <c r="T519" s="66"/>
      <c r="U519" s="66" t="s">
        <v>2986</v>
      </c>
      <c r="V519" s="67" t="s">
        <v>2987</v>
      </c>
    </row>
    <row r="520" spans="2:22" ht="15" customHeight="1" x14ac:dyDescent="0.3">
      <c r="B520" s="22">
        <v>513</v>
      </c>
      <c r="C520" s="22" t="s">
        <v>13</v>
      </c>
      <c r="D520" s="22" t="s">
        <v>2994</v>
      </c>
      <c r="E520" s="59" t="s">
        <v>2995</v>
      </c>
      <c r="F520" s="59" t="s">
        <v>95</v>
      </c>
      <c r="G520" s="59" t="s">
        <v>2996</v>
      </c>
      <c r="H520" s="59" t="s">
        <v>2997</v>
      </c>
      <c r="I520" s="59" t="s">
        <v>51</v>
      </c>
      <c r="J520" s="59">
        <v>1997</v>
      </c>
      <c r="K520" s="63">
        <v>0</v>
      </c>
      <c r="L520" s="60">
        <v>290</v>
      </c>
      <c r="M520" s="63">
        <v>0</v>
      </c>
      <c r="N520" s="61">
        <f t="shared" si="11"/>
        <v>290</v>
      </c>
      <c r="O520" s="60">
        <v>0</v>
      </c>
      <c r="P520" s="63" t="s">
        <v>68</v>
      </c>
      <c r="Q520" s="59" t="s">
        <v>2998</v>
      </c>
      <c r="R520" s="59" t="s">
        <v>888</v>
      </c>
      <c r="S520" s="88" t="s">
        <v>2999</v>
      </c>
      <c r="T520" s="65"/>
      <c r="U520" s="22" t="s">
        <v>3000</v>
      </c>
      <c r="V520" s="59" t="s">
        <v>3001</v>
      </c>
    </row>
    <row r="521" spans="2:22" ht="15" customHeight="1" x14ac:dyDescent="0.3">
      <c r="B521" s="22">
        <v>514</v>
      </c>
      <c r="C521" s="22" t="s">
        <v>13</v>
      </c>
      <c r="D521" s="22" t="s">
        <v>2994</v>
      </c>
      <c r="E521" s="62" t="s">
        <v>3002</v>
      </c>
      <c r="F521" s="59" t="s">
        <v>95</v>
      </c>
      <c r="G521" s="59" t="s">
        <v>3003</v>
      </c>
      <c r="H521" s="59" t="s">
        <v>3004</v>
      </c>
      <c r="I521" s="59" t="s">
        <v>51</v>
      </c>
      <c r="J521" s="59">
        <v>2006</v>
      </c>
      <c r="K521" s="63" t="s">
        <v>68</v>
      </c>
      <c r="L521" s="60">
        <v>30</v>
      </c>
      <c r="M521" s="63" t="s">
        <v>68</v>
      </c>
      <c r="N521" s="61">
        <f t="shared" si="11"/>
        <v>30</v>
      </c>
      <c r="O521" s="60">
        <v>0</v>
      </c>
      <c r="P521" s="63" t="s">
        <v>68</v>
      </c>
      <c r="Q521" s="59" t="s">
        <v>3005</v>
      </c>
      <c r="R521" s="59" t="s">
        <v>888</v>
      </c>
      <c r="S521" s="88" t="s">
        <v>2999</v>
      </c>
      <c r="T521" s="65"/>
      <c r="U521" s="22" t="s">
        <v>3000</v>
      </c>
      <c r="V521" s="59" t="s">
        <v>3001</v>
      </c>
    </row>
    <row r="522" spans="2:22" ht="15" customHeight="1" x14ac:dyDescent="0.3">
      <c r="B522" s="22">
        <v>515</v>
      </c>
      <c r="C522" s="22" t="s">
        <v>13</v>
      </c>
      <c r="D522" s="22" t="s">
        <v>2994</v>
      </c>
      <c r="E522" s="62" t="s">
        <v>3006</v>
      </c>
      <c r="F522" s="59" t="s">
        <v>55</v>
      </c>
      <c r="G522" s="59" t="s">
        <v>3007</v>
      </c>
      <c r="H522" s="59" t="s">
        <v>3008</v>
      </c>
      <c r="I522" s="59" t="s">
        <v>67</v>
      </c>
      <c r="J522" s="59">
        <v>2022</v>
      </c>
      <c r="K522" s="63" t="s">
        <v>68</v>
      </c>
      <c r="L522" s="60">
        <v>500</v>
      </c>
      <c r="M522" s="63" t="s">
        <v>68</v>
      </c>
      <c r="N522" s="61">
        <f t="shared" si="11"/>
        <v>500</v>
      </c>
      <c r="O522" s="60">
        <v>0</v>
      </c>
      <c r="P522" s="63" t="s">
        <v>68</v>
      </c>
      <c r="Q522" s="55" t="s">
        <v>2960</v>
      </c>
      <c r="R522" s="64"/>
      <c r="S522" s="134"/>
      <c r="T522" s="65"/>
      <c r="U522" s="22" t="s">
        <v>3009</v>
      </c>
      <c r="V522" s="59" t="s">
        <v>3010</v>
      </c>
    </row>
    <row r="523" spans="2:22" ht="15" customHeight="1" x14ac:dyDescent="0.3">
      <c r="B523" s="22">
        <v>516</v>
      </c>
      <c r="C523" s="22" t="s">
        <v>13</v>
      </c>
      <c r="D523" s="22" t="s">
        <v>2994</v>
      </c>
      <c r="E523" s="62" t="s">
        <v>3011</v>
      </c>
      <c r="F523" s="59" t="s">
        <v>390</v>
      </c>
      <c r="G523" s="59" t="s">
        <v>3012</v>
      </c>
      <c r="H523" s="59" t="s">
        <v>3013</v>
      </c>
      <c r="I523" s="59" t="s">
        <v>51</v>
      </c>
      <c r="J523" s="59">
        <v>1998</v>
      </c>
      <c r="K523" s="63" t="s">
        <v>68</v>
      </c>
      <c r="L523" s="60">
        <v>65</v>
      </c>
      <c r="M523" s="63" t="s">
        <v>68</v>
      </c>
      <c r="N523" s="61">
        <f t="shared" si="11"/>
        <v>65</v>
      </c>
      <c r="O523" s="60">
        <v>0</v>
      </c>
      <c r="P523" s="63" t="s">
        <v>68</v>
      </c>
      <c r="Q523" s="59" t="s">
        <v>3014</v>
      </c>
      <c r="R523" s="59" t="s">
        <v>888</v>
      </c>
      <c r="S523" s="88" t="s">
        <v>2999</v>
      </c>
      <c r="T523" s="65"/>
      <c r="U523" s="22" t="s">
        <v>3000</v>
      </c>
      <c r="V523" s="59" t="s">
        <v>3001</v>
      </c>
    </row>
    <row r="524" spans="2:22" ht="15" customHeight="1" x14ac:dyDescent="0.3">
      <c r="B524" s="22">
        <v>517</v>
      </c>
      <c r="C524" s="22" t="s">
        <v>13</v>
      </c>
      <c r="D524" s="22" t="s">
        <v>2994</v>
      </c>
      <c r="E524" s="62" t="s">
        <v>3015</v>
      </c>
      <c r="F524" s="59" t="s">
        <v>390</v>
      </c>
      <c r="G524" s="59" t="s">
        <v>3016</v>
      </c>
      <c r="H524" s="59" t="s">
        <v>3017</v>
      </c>
      <c r="I524" s="59" t="s">
        <v>51</v>
      </c>
      <c r="J524" s="59">
        <v>1999</v>
      </c>
      <c r="K524" s="63" t="s">
        <v>68</v>
      </c>
      <c r="L524" s="60">
        <v>90</v>
      </c>
      <c r="M524" s="63" t="s">
        <v>68</v>
      </c>
      <c r="N524" s="61">
        <f t="shared" si="11"/>
        <v>90</v>
      </c>
      <c r="O524" s="60">
        <v>0</v>
      </c>
      <c r="P524" s="63" t="s">
        <v>68</v>
      </c>
      <c r="Q524" s="59" t="s">
        <v>3018</v>
      </c>
      <c r="R524" s="59" t="s">
        <v>888</v>
      </c>
      <c r="S524" s="88" t="s">
        <v>2999</v>
      </c>
      <c r="T524" s="65"/>
      <c r="U524" s="22" t="s">
        <v>3000</v>
      </c>
      <c r="V524" s="59" t="s">
        <v>3001</v>
      </c>
    </row>
    <row r="525" spans="2:22" ht="15" customHeight="1" x14ac:dyDescent="0.3">
      <c r="B525" s="22">
        <v>518</v>
      </c>
      <c r="C525" s="22" t="s">
        <v>13</v>
      </c>
      <c r="D525" s="22" t="s">
        <v>3019</v>
      </c>
      <c r="E525" s="59" t="s">
        <v>3020</v>
      </c>
      <c r="F525" s="59" t="s">
        <v>95</v>
      </c>
      <c r="G525" s="59" t="s">
        <v>3021</v>
      </c>
      <c r="H525" s="59" t="s">
        <v>3022</v>
      </c>
      <c r="I525" s="59" t="s">
        <v>51</v>
      </c>
      <c r="J525" s="59">
        <v>1999</v>
      </c>
      <c r="K525" s="60" t="s">
        <v>68</v>
      </c>
      <c r="L525" s="60">
        <v>600</v>
      </c>
      <c r="M525" s="60">
        <v>10</v>
      </c>
      <c r="N525" s="61">
        <f t="shared" si="11"/>
        <v>610</v>
      </c>
      <c r="O525" s="60">
        <v>532698</v>
      </c>
      <c r="P525" s="60" t="s">
        <v>68</v>
      </c>
      <c r="Q525" s="59" t="s">
        <v>3023</v>
      </c>
      <c r="R525" s="59" t="s">
        <v>173</v>
      </c>
      <c r="S525" s="88" t="s">
        <v>3024</v>
      </c>
      <c r="T525" s="22"/>
      <c r="U525" s="22" t="s">
        <v>3025</v>
      </c>
      <c r="V525" s="59" t="s">
        <v>3026</v>
      </c>
    </row>
    <row r="526" spans="2:22" ht="15" customHeight="1" x14ac:dyDescent="0.3">
      <c r="B526" s="22">
        <v>519</v>
      </c>
      <c r="C526" s="22" t="s">
        <v>13</v>
      </c>
      <c r="D526" s="22" t="s">
        <v>3019</v>
      </c>
      <c r="E526" s="55" t="s">
        <v>3027</v>
      </c>
      <c r="F526" s="55" t="s">
        <v>95</v>
      </c>
      <c r="G526" s="55" t="s">
        <v>1376</v>
      </c>
      <c r="H526" s="55" t="s">
        <v>3028</v>
      </c>
      <c r="I526" s="55" t="s">
        <v>51</v>
      </c>
      <c r="J526" s="55">
        <v>2006</v>
      </c>
      <c r="K526" s="57" t="s">
        <v>68</v>
      </c>
      <c r="L526" s="57">
        <v>20</v>
      </c>
      <c r="M526" s="57" t="s">
        <v>68</v>
      </c>
      <c r="N526" s="61">
        <f t="shared" si="11"/>
        <v>20</v>
      </c>
      <c r="O526" s="57">
        <v>5000</v>
      </c>
      <c r="P526" s="57">
        <v>0</v>
      </c>
      <c r="Q526" s="55" t="s">
        <v>3029</v>
      </c>
      <c r="R526" s="55" t="s">
        <v>1259</v>
      </c>
      <c r="S526" s="84"/>
      <c r="T526" s="8"/>
      <c r="U526" s="22" t="s">
        <v>3025</v>
      </c>
      <c r="V526" s="59" t="s">
        <v>3026</v>
      </c>
    </row>
    <row r="527" spans="2:22" ht="15" customHeight="1" x14ac:dyDescent="0.3">
      <c r="B527" s="22">
        <v>520</v>
      </c>
      <c r="C527" s="22" t="s">
        <v>13</v>
      </c>
      <c r="D527" s="22" t="s">
        <v>3019</v>
      </c>
      <c r="E527" s="55" t="s">
        <v>3030</v>
      </c>
      <c r="F527" s="55" t="s">
        <v>390</v>
      </c>
      <c r="G527" s="55" t="s">
        <v>1391</v>
      </c>
      <c r="H527" s="55" t="s">
        <v>3031</v>
      </c>
      <c r="I527" s="55" t="s">
        <v>51</v>
      </c>
      <c r="J527" s="55">
        <v>2003</v>
      </c>
      <c r="K527" s="57" t="s">
        <v>68</v>
      </c>
      <c r="L527" s="57">
        <v>35</v>
      </c>
      <c r="M527" s="57" t="s">
        <v>68</v>
      </c>
      <c r="N527" s="61">
        <f t="shared" si="11"/>
        <v>35</v>
      </c>
      <c r="O527" s="57">
        <v>1000</v>
      </c>
      <c r="P527" s="57">
        <v>0</v>
      </c>
      <c r="Q527" s="55" t="s">
        <v>3032</v>
      </c>
      <c r="R527" s="55" t="s">
        <v>1259</v>
      </c>
      <c r="S527" s="84"/>
      <c r="T527" s="8"/>
      <c r="U527" s="22" t="s">
        <v>3025</v>
      </c>
      <c r="V527" s="59" t="s">
        <v>3026</v>
      </c>
    </row>
    <row r="528" spans="2:22" ht="15" customHeight="1" x14ac:dyDescent="0.3">
      <c r="B528" s="22">
        <v>521</v>
      </c>
      <c r="C528" s="22" t="s">
        <v>13</v>
      </c>
      <c r="D528" s="22" t="s">
        <v>3019</v>
      </c>
      <c r="E528" s="55" t="s">
        <v>3033</v>
      </c>
      <c r="F528" s="55" t="s">
        <v>55</v>
      </c>
      <c r="G528" s="55" t="s">
        <v>3034</v>
      </c>
      <c r="H528" s="55" t="s">
        <v>3035</v>
      </c>
      <c r="I528" s="55" t="s">
        <v>51</v>
      </c>
      <c r="J528" s="55">
        <v>2017</v>
      </c>
      <c r="K528" s="57" t="s">
        <v>68</v>
      </c>
      <c r="L528" s="57">
        <v>250</v>
      </c>
      <c r="M528" s="57" t="s">
        <v>68</v>
      </c>
      <c r="N528" s="61">
        <f t="shared" si="11"/>
        <v>250</v>
      </c>
      <c r="O528" s="57">
        <v>210000</v>
      </c>
      <c r="P528" s="57">
        <v>0</v>
      </c>
      <c r="Q528" s="55" t="s">
        <v>3036</v>
      </c>
      <c r="R528" s="55" t="s">
        <v>888</v>
      </c>
      <c r="S528" s="84"/>
      <c r="T528" s="8"/>
      <c r="U528" s="22" t="s">
        <v>3025</v>
      </c>
      <c r="V528" s="59" t="s">
        <v>3026</v>
      </c>
    </row>
    <row r="529" spans="2:22" ht="15" customHeight="1" x14ac:dyDescent="0.3">
      <c r="B529" s="22">
        <v>522</v>
      </c>
      <c r="C529" s="22" t="s">
        <v>13</v>
      </c>
      <c r="D529" s="22" t="s">
        <v>3037</v>
      </c>
      <c r="E529" s="59" t="s">
        <v>3038</v>
      </c>
      <c r="F529" s="59" t="s">
        <v>429</v>
      </c>
      <c r="G529" s="59" t="s">
        <v>3039</v>
      </c>
      <c r="H529" s="59" t="s">
        <v>3040</v>
      </c>
      <c r="I529" s="59" t="s">
        <v>67</v>
      </c>
      <c r="J529" s="59">
        <v>2011</v>
      </c>
      <c r="K529" s="60">
        <v>0</v>
      </c>
      <c r="L529" s="60">
        <v>720</v>
      </c>
      <c r="M529" s="60">
        <v>0</v>
      </c>
      <c r="N529" s="61">
        <f t="shared" si="11"/>
        <v>720</v>
      </c>
      <c r="O529" s="57">
        <v>300000</v>
      </c>
      <c r="P529" s="57">
        <v>1000</v>
      </c>
      <c r="Q529" s="55" t="s">
        <v>2960</v>
      </c>
      <c r="R529" s="59"/>
      <c r="S529" s="88"/>
      <c r="T529" s="22"/>
      <c r="U529" s="22" t="s">
        <v>3041</v>
      </c>
      <c r="V529" s="59" t="s">
        <v>3042</v>
      </c>
    </row>
    <row r="530" spans="2:22" ht="15" customHeight="1" x14ac:dyDescent="0.3">
      <c r="B530" s="22">
        <v>523</v>
      </c>
      <c r="C530" s="22" t="s">
        <v>13</v>
      </c>
      <c r="D530" s="22" t="s">
        <v>3037</v>
      </c>
      <c r="E530" s="59" t="s">
        <v>3043</v>
      </c>
      <c r="F530" s="59" t="s">
        <v>390</v>
      </c>
      <c r="G530" s="59" t="s">
        <v>3044</v>
      </c>
      <c r="H530" s="59" t="s">
        <v>3045</v>
      </c>
      <c r="I530" s="59" t="s">
        <v>51</v>
      </c>
      <c r="J530" s="59">
        <v>2022</v>
      </c>
      <c r="K530" s="60">
        <v>0</v>
      </c>
      <c r="L530" s="60">
        <v>200</v>
      </c>
      <c r="M530" s="60">
        <v>0</v>
      </c>
      <c r="N530" s="61">
        <f t="shared" si="11"/>
        <v>200</v>
      </c>
      <c r="O530" s="57">
        <v>0</v>
      </c>
      <c r="P530" s="57">
        <v>0</v>
      </c>
      <c r="Q530" s="55" t="s">
        <v>2960</v>
      </c>
      <c r="R530" s="59"/>
      <c r="S530" s="88"/>
      <c r="T530" s="22"/>
      <c r="U530" s="22" t="s">
        <v>3041</v>
      </c>
      <c r="V530" s="59" t="s">
        <v>3042</v>
      </c>
    </row>
    <row r="531" spans="2:22" ht="15" customHeight="1" x14ac:dyDescent="0.3">
      <c r="B531" s="22">
        <v>524</v>
      </c>
      <c r="C531" s="8" t="s">
        <v>13</v>
      </c>
      <c r="D531" s="8" t="s">
        <v>3037</v>
      </c>
      <c r="E531" s="55" t="s">
        <v>3046</v>
      </c>
      <c r="F531" s="55" t="s">
        <v>1243</v>
      </c>
      <c r="G531" s="55" t="s">
        <v>3047</v>
      </c>
      <c r="H531" s="55" t="s">
        <v>3040</v>
      </c>
      <c r="I531" s="55" t="s">
        <v>67</v>
      </c>
      <c r="J531" s="55">
        <v>2021</v>
      </c>
      <c r="K531" s="57">
        <v>0</v>
      </c>
      <c r="L531" s="57">
        <v>480</v>
      </c>
      <c r="M531" s="57">
        <v>0</v>
      </c>
      <c r="N531" s="61">
        <f t="shared" si="11"/>
        <v>480</v>
      </c>
      <c r="O531" s="57">
        <v>30000</v>
      </c>
      <c r="P531" s="57">
        <v>100</v>
      </c>
      <c r="Q531" s="55" t="s">
        <v>2960</v>
      </c>
      <c r="R531" s="59"/>
      <c r="S531" s="88"/>
      <c r="T531" s="22"/>
      <c r="U531" s="8" t="s">
        <v>3041</v>
      </c>
      <c r="V531" s="55" t="s">
        <v>3042</v>
      </c>
    </row>
    <row r="532" spans="2:22" ht="15" customHeight="1" x14ac:dyDescent="0.3">
      <c r="B532" s="22">
        <v>525</v>
      </c>
      <c r="C532" s="8" t="s">
        <v>13</v>
      </c>
      <c r="D532" s="8" t="s">
        <v>3048</v>
      </c>
      <c r="E532" s="55" t="s">
        <v>3049</v>
      </c>
      <c r="F532" s="55" t="s">
        <v>95</v>
      </c>
      <c r="G532" s="55" t="s">
        <v>3050</v>
      </c>
      <c r="H532" s="55" t="s">
        <v>3051</v>
      </c>
      <c r="I532" s="55" t="s">
        <v>67</v>
      </c>
      <c r="J532" s="55">
        <v>1999</v>
      </c>
      <c r="K532" s="57">
        <v>0</v>
      </c>
      <c r="L532" s="57">
        <v>200</v>
      </c>
      <c r="M532" s="57">
        <v>0</v>
      </c>
      <c r="N532" s="52">
        <f t="shared" si="11"/>
        <v>200</v>
      </c>
      <c r="O532" s="57">
        <v>304305</v>
      </c>
      <c r="P532" s="57">
        <v>0</v>
      </c>
      <c r="Q532" s="55" t="s">
        <v>3052</v>
      </c>
      <c r="R532" s="55" t="s">
        <v>888</v>
      </c>
      <c r="S532" s="84" t="s">
        <v>3053</v>
      </c>
      <c r="T532" s="8"/>
      <c r="U532" s="8" t="s">
        <v>3054</v>
      </c>
      <c r="V532" s="55" t="s">
        <v>3055</v>
      </c>
    </row>
    <row r="533" spans="2:22" ht="15" customHeight="1" x14ac:dyDescent="0.3">
      <c r="B533" s="22">
        <v>526</v>
      </c>
      <c r="C533" s="8" t="s">
        <v>13</v>
      </c>
      <c r="D533" s="8" t="s">
        <v>3048</v>
      </c>
      <c r="E533" s="55" t="s">
        <v>3056</v>
      </c>
      <c r="F533" s="55" t="s">
        <v>95</v>
      </c>
      <c r="G533" s="55" t="s">
        <v>2552</v>
      </c>
      <c r="H533" s="55" t="s">
        <v>3057</v>
      </c>
      <c r="I533" s="55" t="s">
        <v>51</v>
      </c>
      <c r="J533" s="55">
        <v>2005</v>
      </c>
      <c r="K533" s="57">
        <v>0</v>
      </c>
      <c r="L533" s="57">
        <v>35</v>
      </c>
      <c r="M533" s="57">
        <v>0</v>
      </c>
      <c r="N533" s="52">
        <f t="shared" si="11"/>
        <v>35</v>
      </c>
      <c r="O533" s="57">
        <v>101728</v>
      </c>
      <c r="P533" s="57">
        <v>0</v>
      </c>
      <c r="Q533" s="55" t="s">
        <v>3058</v>
      </c>
      <c r="R533" s="55" t="s">
        <v>888</v>
      </c>
      <c r="S533" s="84" t="s">
        <v>3059</v>
      </c>
      <c r="T533" s="8"/>
      <c r="U533" s="8" t="s">
        <v>3060</v>
      </c>
      <c r="V533" s="55" t="s">
        <v>3061</v>
      </c>
    </row>
    <row r="534" spans="2:22" ht="15" customHeight="1" x14ac:dyDescent="0.3">
      <c r="B534" s="22">
        <v>527</v>
      </c>
      <c r="C534" s="25" t="s">
        <v>13</v>
      </c>
      <c r="D534" s="25" t="s">
        <v>3048</v>
      </c>
      <c r="E534" s="56" t="s">
        <v>3062</v>
      </c>
      <c r="F534" s="56" t="s">
        <v>50</v>
      </c>
      <c r="G534" s="56" t="s">
        <v>2557</v>
      </c>
      <c r="H534" s="56" t="s">
        <v>3063</v>
      </c>
      <c r="I534" s="56" t="s">
        <v>51</v>
      </c>
      <c r="J534" s="56">
        <v>1945</v>
      </c>
      <c r="K534" s="68">
        <v>6</v>
      </c>
      <c r="L534" s="68">
        <v>329</v>
      </c>
      <c r="M534" s="68">
        <v>0</v>
      </c>
      <c r="N534" s="52">
        <f t="shared" si="11"/>
        <v>335</v>
      </c>
      <c r="O534" s="68">
        <v>2000</v>
      </c>
      <c r="P534" s="57">
        <v>0</v>
      </c>
      <c r="Q534" s="56" t="s">
        <v>3064</v>
      </c>
      <c r="R534" s="56" t="s">
        <v>888</v>
      </c>
      <c r="S534" s="130" t="s">
        <v>3053</v>
      </c>
      <c r="T534" s="25" t="s">
        <v>1418</v>
      </c>
      <c r="U534" s="25" t="s">
        <v>3065</v>
      </c>
      <c r="V534" s="56" t="s">
        <v>3066</v>
      </c>
    </row>
    <row r="535" spans="2:22" ht="15" customHeight="1" x14ac:dyDescent="0.3">
      <c r="B535" s="22">
        <v>528</v>
      </c>
      <c r="C535" s="25" t="s">
        <v>13</v>
      </c>
      <c r="D535" s="25" t="s">
        <v>3048</v>
      </c>
      <c r="E535" s="56" t="s">
        <v>3067</v>
      </c>
      <c r="F535" s="56" t="s">
        <v>55</v>
      </c>
      <c r="G535" s="56" t="s">
        <v>742</v>
      </c>
      <c r="H535" s="56" t="s">
        <v>3068</v>
      </c>
      <c r="I535" s="56" t="s">
        <v>51</v>
      </c>
      <c r="J535" s="56">
        <v>2014</v>
      </c>
      <c r="K535" s="57">
        <v>0</v>
      </c>
      <c r="L535" s="68">
        <v>150</v>
      </c>
      <c r="M535" s="68">
        <v>150</v>
      </c>
      <c r="N535" s="52">
        <f t="shared" si="11"/>
        <v>300</v>
      </c>
      <c r="O535" s="68" t="s">
        <v>68</v>
      </c>
      <c r="P535" s="57">
        <v>0</v>
      </c>
      <c r="Q535" s="56" t="s">
        <v>3069</v>
      </c>
      <c r="R535" s="56" t="s">
        <v>173</v>
      </c>
      <c r="S535" s="84" t="s">
        <v>3059</v>
      </c>
      <c r="T535" s="25"/>
      <c r="U535" s="25" t="s">
        <v>3054</v>
      </c>
      <c r="V535" s="56" t="s">
        <v>3055</v>
      </c>
    </row>
    <row r="536" spans="2:22" ht="15" customHeight="1" x14ac:dyDescent="0.3">
      <c r="B536" s="22">
        <v>529</v>
      </c>
      <c r="C536" s="25" t="s">
        <v>13</v>
      </c>
      <c r="D536" s="25" t="s">
        <v>3048</v>
      </c>
      <c r="E536" s="56" t="s">
        <v>3070</v>
      </c>
      <c r="F536" s="56" t="s">
        <v>55</v>
      </c>
      <c r="G536" s="56" t="s">
        <v>167</v>
      </c>
      <c r="H536" s="56" t="s">
        <v>3071</v>
      </c>
      <c r="I536" s="56" t="s">
        <v>51</v>
      </c>
      <c r="J536" s="56">
        <v>2005</v>
      </c>
      <c r="K536" s="57">
        <v>0</v>
      </c>
      <c r="L536" s="68">
        <v>50</v>
      </c>
      <c r="M536" s="68">
        <v>50</v>
      </c>
      <c r="N536" s="52">
        <f t="shared" si="11"/>
        <v>100</v>
      </c>
      <c r="O536" s="68">
        <v>2000</v>
      </c>
      <c r="P536" s="57">
        <v>0</v>
      </c>
      <c r="Q536" s="56" t="s">
        <v>3072</v>
      </c>
      <c r="R536" s="56" t="s">
        <v>888</v>
      </c>
      <c r="S536" s="142" t="s">
        <v>3073</v>
      </c>
      <c r="T536" s="25"/>
      <c r="U536" s="25" t="s">
        <v>3065</v>
      </c>
      <c r="V536" s="56" t="s">
        <v>3066</v>
      </c>
    </row>
    <row r="537" spans="2:22" ht="15" customHeight="1" x14ac:dyDescent="0.3">
      <c r="B537" s="22">
        <v>530</v>
      </c>
      <c r="C537" s="25" t="s">
        <v>13</v>
      </c>
      <c r="D537" s="25" t="s">
        <v>3048</v>
      </c>
      <c r="E537" s="56" t="s">
        <v>3074</v>
      </c>
      <c r="F537" s="56" t="s">
        <v>55</v>
      </c>
      <c r="G537" s="56" t="s">
        <v>167</v>
      </c>
      <c r="H537" s="56" t="s">
        <v>3075</v>
      </c>
      <c r="I537" s="56" t="s">
        <v>51</v>
      </c>
      <c r="J537" s="56">
        <v>2008</v>
      </c>
      <c r="K537" s="57">
        <v>0</v>
      </c>
      <c r="L537" s="68">
        <v>250</v>
      </c>
      <c r="M537" s="68">
        <v>0</v>
      </c>
      <c r="N537" s="52">
        <f t="shared" si="11"/>
        <v>250</v>
      </c>
      <c r="O537" s="68">
        <v>2000</v>
      </c>
      <c r="P537" s="57">
        <v>0</v>
      </c>
      <c r="Q537" s="56" t="s">
        <v>3076</v>
      </c>
      <c r="R537" s="56" t="s">
        <v>888</v>
      </c>
      <c r="S537" s="130" t="s">
        <v>3053</v>
      </c>
      <c r="T537" s="25"/>
      <c r="U537" s="25" t="s">
        <v>3065</v>
      </c>
      <c r="V537" s="56" t="s">
        <v>3066</v>
      </c>
    </row>
    <row r="538" spans="2:22" ht="15" customHeight="1" x14ac:dyDescent="0.3">
      <c r="B538" s="22">
        <v>531</v>
      </c>
      <c r="C538" s="8" t="s">
        <v>13</v>
      </c>
      <c r="D538" s="8" t="s">
        <v>3048</v>
      </c>
      <c r="E538" s="55" t="s">
        <v>3077</v>
      </c>
      <c r="F538" s="55" t="s">
        <v>95</v>
      </c>
      <c r="G538" s="55" t="s">
        <v>2788</v>
      </c>
      <c r="H538" s="55" t="s">
        <v>3078</v>
      </c>
      <c r="I538" s="55" t="s">
        <v>51</v>
      </c>
      <c r="J538" s="55">
        <v>1976</v>
      </c>
      <c r="K538" s="57">
        <v>0</v>
      </c>
      <c r="L538" s="57">
        <v>120</v>
      </c>
      <c r="M538" s="57">
        <v>0</v>
      </c>
      <c r="N538" s="52">
        <f t="shared" si="11"/>
        <v>120</v>
      </c>
      <c r="O538" s="57" t="s">
        <v>68</v>
      </c>
      <c r="P538" s="57">
        <v>0</v>
      </c>
      <c r="Q538" s="55" t="s">
        <v>3079</v>
      </c>
      <c r="R538" s="56" t="s">
        <v>888</v>
      </c>
      <c r="S538" s="84" t="s">
        <v>3059</v>
      </c>
      <c r="T538" s="8"/>
      <c r="U538" s="8" t="s">
        <v>3060</v>
      </c>
      <c r="V538" s="55" t="s">
        <v>3061</v>
      </c>
    </row>
    <row r="539" spans="2:22" ht="15" customHeight="1" x14ac:dyDescent="0.3">
      <c r="B539" s="22">
        <v>532</v>
      </c>
      <c r="C539" s="22" t="s">
        <v>13</v>
      </c>
      <c r="D539" s="22" t="s">
        <v>3048</v>
      </c>
      <c r="E539" s="55" t="s">
        <v>3080</v>
      </c>
      <c r="F539" s="55" t="s">
        <v>95</v>
      </c>
      <c r="G539" s="55" t="s">
        <v>2788</v>
      </c>
      <c r="H539" s="55" t="s">
        <v>3051</v>
      </c>
      <c r="I539" s="55" t="s">
        <v>67</v>
      </c>
      <c r="J539" s="55">
        <v>2020</v>
      </c>
      <c r="K539" s="57">
        <v>145</v>
      </c>
      <c r="L539" s="57">
        <v>145</v>
      </c>
      <c r="M539" s="57">
        <v>0</v>
      </c>
      <c r="N539" s="61">
        <f t="shared" si="11"/>
        <v>290</v>
      </c>
      <c r="O539" s="57" t="s">
        <v>68</v>
      </c>
      <c r="P539" s="60">
        <v>0</v>
      </c>
      <c r="Q539" s="55" t="s">
        <v>3052</v>
      </c>
      <c r="R539" s="56" t="s">
        <v>888</v>
      </c>
      <c r="S539" s="84" t="s">
        <v>3059</v>
      </c>
      <c r="T539" s="8" t="s">
        <v>43</v>
      </c>
      <c r="U539" s="8" t="s">
        <v>3054</v>
      </c>
      <c r="V539" s="55" t="s">
        <v>3055</v>
      </c>
    </row>
    <row r="540" spans="2:22" ht="15" customHeight="1" x14ac:dyDescent="0.3">
      <c r="B540" s="22">
        <v>533</v>
      </c>
      <c r="C540" s="22" t="s">
        <v>13</v>
      </c>
      <c r="D540" s="22" t="s">
        <v>3081</v>
      </c>
      <c r="E540" s="62" t="s">
        <v>3082</v>
      </c>
      <c r="F540" s="59" t="s">
        <v>55</v>
      </c>
      <c r="G540" s="59" t="s">
        <v>3083</v>
      </c>
      <c r="H540" s="59" t="s">
        <v>3084</v>
      </c>
      <c r="I540" s="59" t="s">
        <v>51</v>
      </c>
      <c r="J540" s="59">
        <v>2004</v>
      </c>
      <c r="K540" s="60">
        <v>0</v>
      </c>
      <c r="L540" s="60">
        <v>350</v>
      </c>
      <c r="M540" s="57">
        <v>0</v>
      </c>
      <c r="N540" s="61">
        <f t="shared" si="11"/>
        <v>350</v>
      </c>
      <c r="O540" s="60">
        <v>0</v>
      </c>
      <c r="P540" s="60">
        <v>0</v>
      </c>
      <c r="Q540" s="59" t="s">
        <v>3085</v>
      </c>
      <c r="R540" s="56" t="s">
        <v>888</v>
      </c>
      <c r="S540" s="88" t="s">
        <v>3086</v>
      </c>
      <c r="T540" s="22"/>
      <c r="U540" s="22" t="s">
        <v>3087</v>
      </c>
      <c r="V540" s="59" t="s">
        <v>3088</v>
      </c>
    </row>
    <row r="541" spans="2:22" ht="15" customHeight="1" x14ac:dyDescent="0.3">
      <c r="B541" s="22">
        <v>534</v>
      </c>
      <c r="C541" s="22" t="s">
        <v>13</v>
      </c>
      <c r="D541" s="22" t="s">
        <v>3081</v>
      </c>
      <c r="E541" s="62" t="s">
        <v>3089</v>
      </c>
      <c r="F541" s="59" t="s">
        <v>390</v>
      </c>
      <c r="G541" s="59" t="s">
        <v>3083</v>
      </c>
      <c r="H541" s="59" t="s">
        <v>3090</v>
      </c>
      <c r="I541" s="59" t="s">
        <v>51</v>
      </c>
      <c r="J541" s="59">
        <v>2001</v>
      </c>
      <c r="K541" s="60">
        <v>0</v>
      </c>
      <c r="L541" s="60">
        <v>60</v>
      </c>
      <c r="M541" s="57">
        <v>0</v>
      </c>
      <c r="N541" s="61">
        <f t="shared" si="11"/>
        <v>60</v>
      </c>
      <c r="O541" s="60">
        <v>0</v>
      </c>
      <c r="P541" s="60">
        <v>0</v>
      </c>
      <c r="Q541" s="59" t="s">
        <v>3091</v>
      </c>
      <c r="R541" s="56" t="s">
        <v>888</v>
      </c>
      <c r="S541" s="88" t="s">
        <v>3086</v>
      </c>
      <c r="T541" s="22"/>
      <c r="U541" s="22" t="s">
        <v>3087</v>
      </c>
      <c r="V541" s="59" t="s">
        <v>3088</v>
      </c>
    </row>
    <row r="542" spans="2:22" ht="15" customHeight="1" x14ac:dyDescent="0.3">
      <c r="B542" s="22">
        <v>535</v>
      </c>
      <c r="C542" s="22" t="s">
        <v>13</v>
      </c>
      <c r="D542" s="22" t="s">
        <v>3081</v>
      </c>
      <c r="E542" s="62" t="s">
        <v>3092</v>
      </c>
      <c r="F542" s="59" t="s">
        <v>390</v>
      </c>
      <c r="G542" s="59" t="s">
        <v>3093</v>
      </c>
      <c r="H542" s="59" t="s">
        <v>3094</v>
      </c>
      <c r="I542" s="59" t="s">
        <v>51</v>
      </c>
      <c r="J542" s="59">
        <v>2019</v>
      </c>
      <c r="K542" s="60">
        <v>0</v>
      </c>
      <c r="L542" s="60">
        <v>640</v>
      </c>
      <c r="M542" s="57">
        <v>0</v>
      </c>
      <c r="N542" s="61">
        <f t="shared" si="11"/>
        <v>640</v>
      </c>
      <c r="O542" s="60">
        <v>0</v>
      </c>
      <c r="P542" s="60">
        <v>0</v>
      </c>
      <c r="Q542" s="59" t="s">
        <v>3085</v>
      </c>
      <c r="R542" s="56" t="s">
        <v>888</v>
      </c>
      <c r="S542" s="88" t="s">
        <v>3086</v>
      </c>
      <c r="T542" s="22"/>
      <c r="U542" s="22" t="s">
        <v>3087</v>
      </c>
      <c r="V542" s="59" t="s">
        <v>3088</v>
      </c>
    </row>
    <row r="543" spans="2:22" ht="15" customHeight="1" x14ac:dyDescent="0.3">
      <c r="B543" s="22">
        <v>536</v>
      </c>
      <c r="C543" s="22" t="s">
        <v>13</v>
      </c>
      <c r="D543" s="22" t="s">
        <v>3095</v>
      </c>
      <c r="E543" s="121" t="s">
        <v>3096</v>
      </c>
      <c r="F543" s="59" t="s">
        <v>390</v>
      </c>
      <c r="G543" s="59" t="s">
        <v>3097</v>
      </c>
      <c r="H543" s="59" t="s">
        <v>3098</v>
      </c>
      <c r="I543" s="59" t="s">
        <v>51</v>
      </c>
      <c r="J543" s="59">
        <v>1975</v>
      </c>
      <c r="K543" s="60">
        <v>30</v>
      </c>
      <c r="L543" s="60">
        <v>700</v>
      </c>
      <c r="M543" s="57">
        <v>0</v>
      </c>
      <c r="N543" s="61">
        <f t="shared" si="11"/>
        <v>730</v>
      </c>
      <c r="O543" s="60" t="s">
        <v>68</v>
      </c>
      <c r="P543" s="60" t="s">
        <v>68</v>
      </c>
      <c r="Q543" s="62" t="s">
        <v>3099</v>
      </c>
      <c r="R543" s="56" t="s">
        <v>888</v>
      </c>
      <c r="S543" s="88" t="s">
        <v>3100</v>
      </c>
      <c r="T543" s="22" t="s">
        <v>43</v>
      </c>
      <c r="U543" s="22" t="s">
        <v>3101</v>
      </c>
      <c r="V543" s="59" t="s">
        <v>3102</v>
      </c>
    </row>
    <row r="544" spans="2:22" ht="15" customHeight="1" x14ac:dyDescent="0.3">
      <c r="B544" s="22">
        <v>537</v>
      </c>
      <c r="C544" s="22" t="s">
        <v>13</v>
      </c>
      <c r="D544" s="22" t="s">
        <v>3095</v>
      </c>
      <c r="E544" s="69" t="s">
        <v>3103</v>
      </c>
      <c r="F544" s="62" t="s">
        <v>243</v>
      </c>
      <c r="G544" s="59" t="s">
        <v>3104</v>
      </c>
      <c r="H544" s="59" t="s">
        <v>3105</v>
      </c>
      <c r="I544" s="59" t="s">
        <v>51</v>
      </c>
      <c r="J544" s="59">
        <v>1998</v>
      </c>
      <c r="K544" s="60">
        <v>0</v>
      </c>
      <c r="L544" s="60">
        <v>475</v>
      </c>
      <c r="M544" s="57">
        <v>0</v>
      </c>
      <c r="N544" s="61">
        <f t="shared" si="11"/>
        <v>475</v>
      </c>
      <c r="O544" s="60" t="s">
        <v>68</v>
      </c>
      <c r="P544" s="60" t="s">
        <v>68</v>
      </c>
      <c r="Q544" s="62" t="s">
        <v>3106</v>
      </c>
      <c r="R544" s="56" t="s">
        <v>888</v>
      </c>
      <c r="S544" s="84" t="s">
        <v>3100</v>
      </c>
      <c r="T544" s="22"/>
      <c r="U544" s="22" t="s">
        <v>3107</v>
      </c>
      <c r="V544" s="59" t="s">
        <v>3108</v>
      </c>
    </row>
    <row r="545" spans="2:22" ht="15" customHeight="1" x14ac:dyDescent="0.3">
      <c r="B545" s="22">
        <v>538</v>
      </c>
      <c r="C545" s="22" t="s">
        <v>13</v>
      </c>
      <c r="D545" s="22" t="s">
        <v>3095</v>
      </c>
      <c r="E545" s="70" t="s">
        <v>3109</v>
      </c>
      <c r="F545" s="59" t="s">
        <v>390</v>
      </c>
      <c r="G545" s="59" t="s">
        <v>728</v>
      </c>
      <c r="H545" s="59" t="s">
        <v>3110</v>
      </c>
      <c r="I545" s="59" t="s">
        <v>51</v>
      </c>
      <c r="J545" s="59">
        <v>2004</v>
      </c>
      <c r="K545" s="60">
        <v>0</v>
      </c>
      <c r="L545" s="60">
        <v>55</v>
      </c>
      <c r="M545" s="57">
        <v>0</v>
      </c>
      <c r="N545" s="61">
        <f t="shared" si="11"/>
        <v>55</v>
      </c>
      <c r="O545" s="60" t="s">
        <v>68</v>
      </c>
      <c r="P545" s="60" t="s">
        <v>68</v>
      </c>
      <c r="Q545" s="62" t="s">
        <v>3111</v>
      </c>
      <c r="R545" s="56" t="s">
        <v>888</v>
      </c>
      <c r="S545" s="84" t="s">
        <v>3100</v>
      </c>
      <c r="T545" s="22"/>
      <c r="U545" s="22" t="s">
        <v>3101</v>
      </c>
      <c r="V545" s="59" t="s">
        <v>3102</v>
      </c>
    </row>
    <row r="546" spans="2:22" ht="15" customHeight="1" x14ac:dyDescent="0.3">
      <c r="B546" s="22">
        <v>539</v>
      </c>
      <c r="C546" s="22" t="s">
        <v>13</v>
      </c>
      <c r="D546" s="22" t="s">
        <v>3095</v>
      </c>
      <c r="E546" s="70" t="s">
        <v>3112</v>
      </c>
      <c r="F546" s="59" t="s">
        <v>390</v>
      </c>
      <c r="G546" s="59" t="s">
        <v>2788</v>
      </c>
      <c r="H546" s="59" t="s">
        <v>3113</v>
      </c>
      <c r="I546" s="59" t="s">
        <v>51</v>
      </c>
      <c r="J546" s="59">
        <v>2001</v>
      </c>
      <c r="K546" s="60">
        <v>0</v>
      </c>
      <c r="L546" s="60">
        <v>200</v>
      </c>
      <c r="M546" s="57">
        <v>0</v>
      </c>
      <c r="N546" s="61">
        <f t="shared" si="11"/>
        <v>200</v>
      </c>
      <c r="O546" s="60" t="s">
        <v>68</v>
      </c>
      <c r="P546" s="60" t="s">
        <v>68</v>
      </c>
      <c r="Q546" s="62" t="s">
        <v>3114</v>
      </c>
      <c r="R546" s="56" t="s">
        <v>888</v>
      </c>
      <c r="S546" s="84" t="s">
        <v>3100</v>
      </c>
      <c r="T546" s="22"/>
      <c r="U546" s="22" t="s">
        <v>3101</v>
      </c>
      <c r="V546" s="59" t="s">
        <v>3102</v>
      </c>
    </row>
    <row r="547" spans="2:22" ht="15" customHeight="1" x14ac:dyDescent="0.3">
      <c r="B547" s="22">
        <v>540</v>
      </c>
      <c r="C547" s="22" t="s">
        <v>13</v>
      </c>
      <c r="D547" s="22" t="s">
        <v>3095</v>
      </c>
      <c r="E547" s="69" t="s">
        <v>3115</v>
      </c>
      <c r="F547" s="55" t="s">
        <v>1243</v>
      </c>
      <c r="G547" s="59" t="s">
        <v>2530</v>
      </c>
      <c r="H547" s="59" t="s">
        <v>3098</v>
      </c>
      <c r="I547" s="59" t="s">
        <v>51</v>
      </c>
      <c r="J547" s="59">
        <v>1999</v>
      </c>
      <c r="K547" s="60">
        <v>0</v>
      </c>
      <c r="L547" s="60">
        <v>700</v>
      </c>
      <c r="M547" s="57">
        <v>0</v>
      </c>
      <c r="N547" s="61">
        <f t="shared" si="11"/>
        <v>700</v>
      </c>
      <c r="O547" s="60" t="s">
        <v>68</v>
      </c>
      <c r="P547" s="60" t="s">
        <v>68</v>
      </c>
      <c r="Q547" s="55" t="s">
        <v>2960</v>
      </c>
      <c r="R547" s="59"/>
      <c r="S547" s="84" t="s">
        <v>3100</v>
      </c>
      <c r="T547" s="22"/>
      <c r="U547" s="22" t="s">
        <v>3101</v>
      </c>
      <c r="V547" s="59" t="s">
        <v>3102</v>
      </c>
    </row>
    <row r="548" spans="2:22" ht="15" customHeight="1" x14ac:dyDescent="0.3">
      <c r="B548" s="22">
        <v>541</v>
      </c>
      <c r="C548" s="22" t="s">
        <v>13</v>
      </c>
      <c r="D548" s="22" t="s">
        <v>3095</v>
      </c>
      <c r="E548" s="62" t="s">
        <v>3116</v>
      </c>
      <c r="F548" s="55" t="s">
        <v>1243</v>
      </c>
      <c r="G548" s="59" t="s">
        <v>3117</v>
      </c>
      <c r="H548" s="59" t="s">
        <v>3110</v>
      </c>
      <c r="I548" s="59" t="s">
        <v>51</v>
      </c>
      <c r="J548" s="59">
        <v>2019</v>
      </c>
      <c r="K548" s="60">
        <v>0</v>
      </c>
      <c r="L548" s="60">
        <v>500</v>
      </c>
      <c r="M548" s="57">
        <v>0</v>
      </c>
      <c r="N548" s="61">
        <f t="shared" si="11"/>
        <v>500</v>
      </c>
      <c r="O548" s="60" t="s">
        <v>68</v>
      </c>
      <c r="P548" s="60" t="s">
        <v>68</v>
      </c>
      <c r="Q548" s="55" t="s">
        <v>2960</v>
      </c>
      <c r="R548" s="59"/>
      <c r="S548" s="84" t="s">
        <v>3100</v>
      </c>
      <c r="T548" s="22"/>
      <c r="U548" s="22" t="s">
        <v>3101</v>
      </c>
      <c r="V548" s="59" t="s">
        <v>3102</v>
      </c>
    </row>
    <row r="549" spans="2:22" ht="15" customHeight="1" x14ac:dyDescent="0.3">
      <c r="B549" s="22">
        <v>542</v>
      </c>
      <c r="C549" s="58" t="s">
        <v>13</v>
      </c>
      <c r="D549" s="58" t="s">
        <v>3118</v>
      </c>
      <c r="E549" s="71" t="s">
        <v>3119</v>
      </c>
      <c r="F549" s="62" t="s">
        <v>429</v>
      </c>
      <c r="G549" s="71" t="s">
        <v>3120</v>
      </c>
      <c r="H549" s="71" t="s">
        <v>3121</v>
      </c>
      <c r="I549" s="71" t="s">
        <v>51</v>
      </c>
      <c r="J549" s="71">
        <v>2013</v>
      </c>
      <c r="K549" s="61">
        <v>0</v>
      </c>
      <c r="L549" s="61">
        <v>1000</v>
      </c>
      <c r="M549" s="52">
        <v>0</v>
      </c>
      <c r="N549" s="61">
        <f t="shared" si="11"/>
        <v>1000</v>
      </c>
      <c r="O549" s="61">
        <v>54157</v>
      </c>
      <c r="P549" s="61" t="s">
        <v>68</v>
      </c>
      <c r="Q549" s="51" t="s">
        <v>2960</v>
      </c>
      <c r="R549" s="71"/>
      <c r="S549" s="123" t="s">
        <v>3122</v>
      </c>
      <c r="T549" s="58"/>
      <c r="U549" s="58" t="s">
        <v>3123</v>
      </c>
      <c r="V549" s="71" t="s">
        <v>3124</v>
      </c>
    </row>
    <row r="550" spans="2:22" ht="15" customHeight="1" x14ac:dyDescent="0.3">
      <c r="B550" s="22">
        <v>543</v>
      </c>
      <c r="C550" s="58" t="s">
        <v>13</v>
      </c>
      <c r="D550" s="58" t="s">
        <v>3118</v>
      </c>
      <c r="E550" s="71" t="s">
        <v>3125</v>
      </c>
      <c r="F550" s="62" t="s">
        <v>429</v>
      </c>
      <c r="G550" s="71" t="s">
        <v>3126</v>
      </c>
      <c r="H550" s="71" t="s">
        <v>3127</v>
      </c>
      <c r="I550" s="71" t="s">
        <v>51</v>
      </c>
      <c r="J550" s="71">
        <v>1975</v>
      </c>
      <c r="K550" s="61">
        <v>0</v>
      </c>
      <c r="L550" s="61">
        <v>70</v>
      </c>
      <c r="M550" s="52">
        <v>0</v>
      </c>
      <c r="N550" s="61">
        <f t="shared" si="11"/>
        <v>70</v>
      </c>
      <c r="O550" s="61">
        <v>0</v>
      </c>
      <c r="P550" s="61" t="s">
        <v>68</v>
      </c>
      <c r="Q550" s="71" t="s">
        <v>3128</v>
      </c>
      <c r="R550" s="71" t="s">
        <v>888</v>
      </c>
      <c r="S550" s="123" t="s">
        <v>3122</v>
      </c>
      <c r="T550" s="58"/>
      <c r="U550" s="58" t="s">
        <v>3129</v>
      </c>
      <c r="V550" s="71" t="s">
        <v>3130</v>
      </c>
    </row>
    <row r="551" spans="2:22" ht="15" customHeight="1" x14ac:dyDescent="0.3">
      <c r="B551" s="22">
        <v>544</v>
      </c>
      <c r="C551" s="58" t="s">
        <v>13</v>
      </c>
      <c r="D551" s="58" t="s">
        <v>3118</v>
      </c>
      <c r="E551" s="71" t="s">
        <v>3131</v>
      </c>
      <c r="F551" s="62" t="s">
        <v>243</v>
      </c>
      <c r="G551" s="71" t="s">
        <v>3132</v>
      </c>
      <c r="H551" s="71" t="s">
        <v>3133</v>
      </c>
      <c r="I551" s="71" t="s">
        <v>51</v>
      </c>
      <c r="J551" s="71">
        <v>2014</v>
      </c>
      <c r="K551" s="61">
        <v>0</v>
      </c>
      <c r="L551" s="61">
        <v>100</v>
      </c>
      <c r="M551" s="52">
        <v>0</v>
      </c>
      <c r="N551" s="61">
        <f t="shared" si="11"/>
        <v>100</v>
      </c>
      <c r="O551" s="61">
        <v>0</v>
      </c>
      <c r="P551" s="61" t="s">
        <v>68</v>
      </c>
      <c r="Q551" s="71" t="s">
        <v>3134</v>
      </c>
      <c r="R551" s="71" t="s">
        <v>888</v>
      </c>
      <c r="S551" s="123" t="s">
        <v>3122</v>
      </c>
      <c r="T551" s="58"/>
      <c r="U551" s="58" t="s">
        <v>3129</v>
      </c>
      <c r="V551" s="71" t="s">
        <v>3130</v>
      </c>
    </row>
    <row r="552" spans="2:22" ht="15" customHeight="1" x14ac:dyDescent="0.3">
      <c r="B552" s="22">
        <v>545</v>
      </c>
      <c r="C552" s="58" t="s">
        <v>13</v>
      </c>
      <c r="D552" s="58" t="s">
        <v>3118</v>
      </c>
      <c r="E552" s="71" t="s">
        <v>3135</v>
      </c>
      <c r="F552" s="62" t="s">
        <v>429</v>
      </c>
      <c r="G552" s="71" t="s">
        <v>3136</v>
      </c>
      <c r="H552" s="71" t="s">
        <v>3137</v>
      </c>
      <c r="I552" s="71" t="s">
        <v>51</v>
      </c>
      <c r="J552" s="71">
        <v>2016</v>
      </c>
      <c r="K552" s="61">
        <v>0</v>
      </c>
      <c r="L552" s="61">
        <v>50</v>
      </c>
      <c r="M552" s="52">
        <v>0</v>
      </c>
      <c r="N552" s="61">
        <f t="shared" si="11"/>
        <v>50</v>
      </c>
      <c r="O552" s="61">
        <v>0</v>
      </c>
      <c r="P552" s="61" t="s">
        <v>68</v>
      </c>
      <c r="Q552" s="71" t="s">
        <v>3138</v>
      </c>
      <c r="R552" s="71" t="s">
        <v>1259</v>
      </c>
      <c r="S552" s="123" t="s">
        <v>3122</v>
      </c>
      <c r="T552" s="58"/>
      <c r="U552" s="58" t="s">
        <v>3129</v>
      </c>
      <c r="V552" s="71" t="s">
        <v>3130</v>
      </c>
    </row>
    <row r="553" spans="2:22" ht="15" customHeight="1" x14ac:dyDescent="0.3">
      <c r="B553" s="22">
        <v>546</v>
      </c>
      <c r="C553" s="58" t="s">
        <v>13</v>
      </c>
      <c r="D553" s="58" t="s">
        <v>3118</v>
      </c>
      <c r="E553" s="71" t="s">
        <v>3139</v>
      </c>
      <c r="F553" s="62" t="s">
        <v>243</v>
      </c>
      <c r="G553" s="71" t="s">
        <v>3140</v>
      </c>
      <c r="H553" s="71" t="s">
        <v>3141</v>
      </c>
      <c r="I553" s="71" t="s">
        <v>51</v>
      </c>
      <c r="J553" s="71">
        <v>1996</v>
      </c>
      <c r="K553" s="61">
        <v>0</v>
      </c>
      <c r="L553" s="61">
        <v>90</v>
      </c>
      <c r="M553" s="52">
        <v>0</v>
      </c>
      <c r="N553" s="61">
        <f t="shared" si="11"/>
        <v>90</v>
      </c>
      <c r="O553" s="61">
        <v>0</v>
      </c>
      <c r="P553" s="61" t="s">
        <v>68</v>
      </c>
      <c r="Q553" s="71" t="s">
        <v>3142</v>
      </c>
      <c r="R553" s="71" t="s">
        <v>888</v>
      </c>
      <c r="S553" s="123" t="s">
        <v>3122</v>
      </c>
      <c r="T553" s="58"/>
      <c r="U553" s="58" t="s">
        <v>3129</v>
      </c>
      <c r="V553" s="71" t="s">
        <v>3130</v>
      </c>
    </row>
    <row r="554" spans="2:22" ht="15" customHeight="1" x14ac:dyDescent="0.3">
      <c r="B554" s="22">
        <v>547</v>
      </c>
      <c r="C554" s="58" t="s">
        <v>13</v>
      </c>
      <c r="D554" s="58" t="s">
        <v>3118</v>
      </c>
      <c r="E554" s="71" t="s">
        <v>3143</v>
      </c>
      <c r="F554" s="62" t="s">
        <v>429</v>
      </c>
      <c r="G554" s="71" t="s">
        <v>3144</v>
      </c>
      <c r="H554" s="71" t="s">
        <v>3145</v>
      </c>
      <c r="I554" s="71" t="s">
        <v>51</v>
      </c>
      <c r="J554" s="71">
        <v>1999</v>
      </c>
      <c r="K554" s="61">
        <v>0</v>
      </c>
      <c r="L554" s="61">
        <v>19</v>
      </c>
      <c r="M554" s="52">
        <v>0</v>
      </c>
      <c r="N554" s="61">
        <f t="shared" si="11"/>
        <v>19</v>
      </c>
      <c r="O554" s="61">
        <v>0</v>
      </c>
      <c r="P554" s="61" t="s">
        <v>68</v>
      </c>
      <c r="Q554" s="71" t="s">
        <v>3146</v>
      </c>
      <c r="R554" s="71" t="s">
        <v>1259</v>
      </c>
      <c r="S554" s="123" t="s">
        <v>3122</v>
      </c>
      <c r="T554" s="58"/>
      <c r="U554" s="58" t="s">
        <v>3129</v>
      </c>
      <c r="V554" s="71" t="s">
        <v>3130</v>
      </c>
    </row>
    <row r="555" spans="2:22" ht="15" customHeight="1" x14ac:dyDescent="0.3">
      <c r="B555" s="22">
        <v>548</v>
      </c>
      <c r="C555" s="58" t="s">
        <v>13</v>
      </c>
      <c r="D555" s="58" t="s">
        <v>3147</v>
      </c>
      <c r="E555" s="71" t="s">
        <v>3148</v>
      </c>
      <c r="F555" s="71" t="s">
        <v>390</v>
      </c>
      <c r="G555" s="71" t="s">
        <v>3149</v>
      </c>
      <c r="H555" s="71" t="s">
        <v>3150</v>
      </c>
      <c r="I555" s="71" t="s">
        <v>422</v>
      </c>
      <c r="J555" s="71">
        <v>2003</v>
      </c>
      <c r="K555" s="116">
        <v>0</v>
      </c>
      <c r="L555" s="116">
        <v>50</v>
      </c>
      <c r="M555" s="116">
        <v>22</v>
      </c>
      <c r="N555" s="61">
        <f t="shared" si="11"/>
        <v>72</v>
      </c>
      <c r="O555" s="116">
        <v>0</v>
      </c>
      <c r="P555" s="116">
        <v>0</v>
      </c>
      <c r="Q555" s="51" t="s">
        <v>2960</v>
      </c>
      <c r="R555" s="58"/>
      <c r="S555" s="123"/>
      <c r="T555" s="58"/>
      <c r="U555" s="58" t="s">
        <v>3151</v>
      </c>
      <c r="V555" s="71" t="s">
        <v>3152</v>
      </c>
    </row>
    <row r="556" spans="2:22" ht="15" customHeight="1" x14ac:dyDescent="0.3">
      <c r="B556" s="22">
        <v>549</v>
      </c>
      <c r="C556" s="58" t="s">
        <v>13</v>
      </c>
      <c r="D556" s="58" t="s">
        <v>3147</v>
      </c>
      <c r="E556" s="71" t="s">
        <v>3153</v>
      </c>
      <c r="F556" s="71" t="s">
        <v>95</v>
      </c>
      <c r="G556" s="71" t="s">
        <v>3154</v>
      </c>
      <c r="H556" s="71" t="s">
        <v>3155</v>
      </c>
      <c r="I556" s="71" t="s">
        <v>422</v>
      </c>
      <c r="J556" s="71">
        <v>2008</v>
      </c>
      <c r="K556" s="116">
        <v>30</v>
      </c>
      <c r="L556" s="116">
        <v>1700</v>
      </c>
      <c r="M556" s="116"/>
      <c r="N556" s="61">
        <f t="shared" si="11"/>
        <v>1730</v>
      </c>
      <c r="O556" s="116">
        <v>0</v>
      </c>
      <c r="P556" s="116">
        <v>0</v>
      </c>
      <c r="Q556" s="58" t="s">
        <v>3156</v>
      </c>
      <c r="R556" s="58" t="s">
        <v>395</v>
      </c>
      <c r="S556" s="123" t="s">
        <v>3157</v>
      </c>
      <c r="T556" s="58" t="s">
        <v>43</v>
      </c>
      <c r="U556" s="58" t="s">
        <v>3158</v>
      </c>
      <c r="V556" s="71" t="s">
        <v>3159</v>
      </c>
    </row>
    <row r="557" spans="2:22" ht="15" customHeight="1" x14ac:dyDescent="0.3">
      <c r="B557" s="22">
        <v>550</v>
      </c>
      <c r="C557" s="58" t="s">
        <v>13</v>
      </c>
      <c r="D557" s="58" t="s">
        <v>3147</v>
      </c>
      <c r="E557" s="71" t="s">
        <v>3160</v>
      </c>
      <c r="F557" s="71" t="s">
        <v>390</v>
      </c>
      <c r="G557" s="71" t="s">
        <v>2376</v>
      </c>
      <c r="H557" s="71" t="s">
        <v>3161</v>
      </c>
      <c r="I557" s="71" t="s">
        <v>422</v>
      </c>
      <c r="J557" s="71">
        <v>2011</v>
      </c>
      <c r="K557" s="116">
        <v>0</v>
      </c>
      <c r="L557" s="116">
        <v>36</v>
      </c>
      <c r="M557" s="116">
        <v>14</v>
      </c>
      <c r="N557" s="61">
        <f t="shared" si="11"/>
        <v>50</v>
      </c>
      <c r="O557" s="116">
        <v>0</v>
      </c>
      <c r="P557" s="116">
        <v>0</v>
      </c>
      <c r="Q557" s="51" t="s">
        <v>2960</v>
      </c>
      <c r="R557" s="58"/>
      <c r="S557" s="123"/>
      <c r="T557" s="58"/>
      <c r="U557" s="58" t="s">
        <v>3162</v>
      </c>
      <c r="V557" s="71" t="s">
        <v>3163</v>
      </c>
    </row>
    <row r="558" spans="2:22" ht="15" customHeight="1" x14ac:dyDescent="0.3">
      <c r="B558" s="22">
        <v>551</v>
      </c>
      <c r="C558" s="58" t="s">
        <v>13</v>
      </c>
      <c r="D558" s="58" t="s">
        <v>3147</v>
      </c>
      <c r="E558" s="71" t="s">
        <v>3164</v>
      </c>
      <c r="F558" s="71" t="s">
        <v>50</v>
      </c>
      <c r="G558" s="71" t="s">
        <v>167</v>
      </c>
      <c r="H558" s="71" t="s">
        <v>3165</v>
      </c>
      <c r="I558" s="71" t="s">
        <v>422</v>
      </c>
      <c r="J558" s="71">
        <v>2017</v>
      </c>
      <c r="K558" s="116">
        <v>0</v>
      </c>
      <c r="L558" s="116">
        <v>130</v>
      </c>
      <c r="M558" s="116">
        <v>15</v>
      </c>
      <c r="N558" s="61">
        <f t="shared" si="11"/>
        <v>145</v>
      </c>
      <c r="O558" s="116">
        <v>0</v>
      </c>
      <c r="P558" s="116">
        <v>0</v>
      </c>
      <c r="Q558" s="51" t="s">
        <v>2960</v>
      </c>
      <c r="R558" s="58"/>
      <c r="S558" s="123"/>
      <c r="T558" s="58"/>
      <c r="U558" s="58" t="s">
        <v>3166</v>
      </c>
      <c r="V558" s="71" t="s">
        <v>3167</v>
      </c>
    </row>
    <row r="559" spans="2:22" ht="15" customHeight="1" x14ac:dyDescent="0.3">
      <c r="B559" s="22">
        <v>552</v>
      </c>
      <c r="C559" s="58" t="s">
        <v>13</v>
      </c>
      <c r="D559" s="58" t="s">
        <v>3147</v>
      </c>
      <c r="E559" s="71" t="s">
        <v>3168</v>
      </c>
      <c r="F559" s="71" t="s">
        <v>390</v>
      </c>
      <c r="G559" s="71" t="s">
        <v>167</v>
      </c>
      <c r="H559" s="71" t="s">
        <v>3169</v>
      </c>
      <c r="I559" s="71" t="s">
        <v>422</v>
      </c>
      <c r="J559" s="71">
        <v>2015</v>
      </c>
      <c r="K559" s="116">
        <v>0</v>
      </c>
      <c r="L559" s="116">
        <v>20</v>
      </c>
      <c r="M559" s="116"/>
      <c r="N559" s="61">
        <f t="shared" si="11"/>
        <v>20</v>
      </c>
      <c r="O559" s="116">
        <v>0</v>
      </c>
      <c r="P559" s="116">
        <v>0</v>
      </c>
      <c r="Q559" s="51" t="s">
        <v>2960</v>
      </c>
      <c r="R559" s="58"/>
      <c r="S559" s="123"/>
      <c r="T559" s="58"/>
      <c r="U559" s="58" t="s">
        <v>3162</v>
      </c>
      <c r="V559" s="71" t="s">
        <v>3163</v>
      </c>
    </row>
    <row r="560" spans="2:22" ht="15" customHeight="1" x14ac:dyDescent="0.3">
      <c r="B560" s="22">
        <v>553</v>
      </c>
      <c r="C560" s="58" t="s">
        <v>13</v>
      </c>
      <c r="D560" s="58" t="s">
        <v>3170</v>
      </c>
      <c r="E560" s="71" t="s">
        <v>3171</v>
      </c>
      <c r="F560" s="71" t="s">
        <v>95</v>
      </c>
      <c r="G560" s="71" t="s">
        <v>3172</v>
      </c>
      <c r="H560" s="71" t="s">
        <v>3173</v>
      </c>
      <c r="I560" s="71" t="s">
        <v>51</v>
      </c>
      <c r="J560" s="71">
        <v>2018</v>
      </c>
      <c r="K560" s="61">
        <v>0</v>
      </c>
      <c r="L560" s="61">
        <v>50</v>
      </c>
      <c r="M560" s="61">
        <v>0</v>
      </c>
      <c r="N560" s="61">
        <f t="shared" si="11"/>
        <v>50</v>
      </c>
      <c r="O560" s="61">
        <v>0</v>
      </c>
      <c r="P560" s="61" t="s">
        <v>68</v>
      </c>
      <c r="Q560" s="71" t="s">
        <v>3174</v>
      </c>
      <c r="R560" s="71" t="s">
        <v>888</v>
      </c>
      <c r="S560" s="123" t="s">
        <v>3175</v>
      </c>
      <c r="T560" s="58"/>
      <c r="U560" s="58" t="s">
        <v>3176</v>
      </c>
      <c r="V560" s="71" t="s">
        <v>3177</v>
      </c>
    </row>
    <row r="561" spans="2:22" ht="15" customHeight="1" x14ac:dyDescent="0.3">
      <c r="B561" s="22">
        <v>554</v>
      </c>
      <c r="C561" s="22" t="s">
        <v>13</v>
      </c>
      <c r="D561" s="22" t="s">
        <v>3170</v>
      </c>
      <c r="E561" s="59" t="s">
        <v>3178</v>
      </c>
      <c r="F561" s="59" t="s">
        <v>50</v>
      </c>
      <c r="G561" s="59" t="s">
        <v>3179</v>
      </c>
      <c r="H561" s="59" t="s">
        <v>3180</v>
      </c>
      <c r="I561" s="59" t="s">
        <v>51</v>
      </c>
      <c r="J561" s="59">
        <v>1998</v>
      </c>
      <c r="K561" s="60">
        <v>0</v>
      </c>
      <c r="L561" s="60">
        <v>250</v>
      </c>
      <c r="M561" s="60">
        <v>0</v>
      </c>
      <c r="N561" s="61">
        <f t="shared" si="11"/>
        <v>250</v>
      </c>
      <c r="O561" s="60">
        <v>0</v>
      </c>
      <c r="P561" s="60" t="s">
        <v>68</v>
      </c>
      <c r="Q561" s="59" t="s">
        <v>3181</v>
      </c>
      <c r="R561" s="59" t="s">
        <v>888</v>
      </c>
      <c r="S561" s="88" t="s">
        <v>3175</v>
      </c>
      <c r="T561" s="22"/>
      <c r="U561" s="22" t="s">
        <v>3176</v>
      </c>
      <c r="V561" s="59" t="s">
        <v>3177</v>
      </c>
    </row>
    <row r="562" spans="2:22" ht="15" customHeight="1" x14ac:dyDescent="0.3">
      <c r="B562" s="22">
        <v>555</v>
      </c>
      <c r="C562" s="22" t="s">
        <v>13</v>
      </c>
      <c r="D562" s="22" t="s">
        <v>3182</v>
      </c>
      <c r="E562" s="59" t="s">
        <v>3183</v>
      </c>
      <c r="F562" s="59" t="s">
        <v>390</v>
      </c>
      <c r="G562" s="59" t="s">
        <v>3184</v>
      </c>
      <c r="H562" s="59" t="s">
        <v>3185</v>
      </c>
      <c r="I562" s="59" t="s">
        <v>51</v>
      </c>
      <c r="J562" s="59">
        <v>2009</v>
      </c>
      <c r="K562" s="60">
        <v>0</v>
      </c>
      <c r="L562" s="60">
        <v>40</v>
      </c>
      <c r="M562" s="60">
        <v>0</v>
      </c>
      <c r="N562" s="61">
        <f t="shared" si="11"/>
        <v>40</v>
      </c>
      <c r="O562" s="60">
        <v>0</v>
      </c>
      <c r="P562" s="60" t="s">
        <v>68</v>
      </c>
      <c r="Q562" s="59" t="s">
        <v>3186</v>
      </c>
      <c r="R562" s="59" t="s">
        <v>888</v>
      </c>
      <c r="S562" s="88" t="s">
        <v>3175</v>
      </c>
      <c r="T562" s="22"/>
      <c r="U562" s="22" t="s">
        <v>3176</v>
      </c>
      <c r="V562" s="59" t="s">
        <v>3177</v>
      </c>
    </row>
    <row r="563" spans="2:22" ht="15" customHeight="1" x14ac:dyDescent="0.3">
      <c r="B563" s="22">
        <v>556</v>
      </c>
      <c r="C563" s="22" t="s">
        <v>13</v>
      </c>
      <c r="D563" s="22" t="s">
        <v>3170</v>
      </c>
      <c r="E563" s="55" t="s">
        <v>3187</v>
      </c>
      <c r="F563" s="55" t="s">
        <v>50</v>
      </c>
      <c r="G563" s="55" t="s">
        <v>3188</v>
      </c>
      <c r="H563" s="55" t="s">
        <v>3189</v>
      </c>
      <c r="I563" s="55" t="s">
        <v>51</v>
      </c>
      <c r="J563" s="55">
        <v>1973</v>
      </c>
      <c r="K563" s="57">
        <v>0</v>
      </c>
      <c r="L563" s="57">
        <v>800</v>
      </c>
      <c r="M563" s="57">
        <v>0</v>
      </c>
      <c r="N563" s="52">
        <f t="shared" si="11"/>
        <v>800</v>
      </c>
      <c r="O563" s="57">
        <v>630000</v>
      </c>
      <c r="P563" s="57" t="s">
        <v>68</v>
      </c>
      <c r="Q563" s="55" t="s">
        <v>3181</v>
      </c>
      <c r="R563" s="55" t="s">
        <v>888</v>
      </c>
      <c r="S563" s="84" t="s">
        <v>3175</v>
      </c>
      <c r="T563" s="8"/>
      <c r="U563" s="8" t="s">
        <v>3190</v>
      </c>
      <c r="V563" s="55" t="s">
        <v>3191</v>
      </c>
    </row>
    <row r="564" spans="2:22" ht="15" customHeight="1" x14ac:dyDescent="0.3">
      <c r="B564" s="22">
        <v>557</v>
      </c>
      <c r="C564" s="22" t="s">
        <v>13</v>
      </c>
      <c r="D564" s="22" t="s">
        <v>3170</v>
      </c>
      <c r="E564" s="59" t="s">
        <v>3192</v>
      </c>
      <c r="F564" s="59" t="s">
        <v>95</v>
      </c>
      <c r="G564" s="59" t="s">
        <v>3193</v>
      </c>
      <c r="H564" s="59" t="s">
        <v>3194</v>
      </c>
      <c r="I564" s="59" t="s">
        <v>51</v>
      </c>
      <c r="J564" s="59">
        <v>2016</v>
      </c>
      <c r="K564" s="60">
        <v>0</v>
      </c>
      <c r="L564" s="60">
        <v>500</v>
      </c>
      <c r="M564" s="60">
        <v>0</v>
      </c>
      <c r="N564" s="61">
        <f t="shared" si="11"/>
        <v>500</v>
      </c>
      <c r="O564" s="60">
        <v>0</v>
      </c>
      <c r="P564" s="60" t="s">
        <v>68</v>
      </c>
      <c r="Q564" s="59" t="s">
        <v>3181</v>
      </c>
      <c r="R564" s="59" t="s">
        <v>888</v>
      </c>
      <c r="S564" s="88" t="s">
        <v>3175</v>
      </c>
      <c r="T564" s="22"/>
      <c r="U564" s="22" t="s">
        <v>3176</v>
      </c>
      <c r="V564" s="59" t="s">
        <v>3177</v>
      </c>
    </row>
    <row r="565" spans="2:22" ht="15" customHeight="1" x14ac:dyDescent="0.3">
      <c r="B565" s="22">
        <v>558</v>
      </c>
      <c r="C565" s="22" t="s">
        <v>2892</v>
      </c>
      <c r="D565" s="22" t="s">
        <v>3195</v>
      </c>
      <c r="E565" s="59" t="s">
        <v>3196</v>
      </c>
      <c r="F565" s="59" t="s">
        <v>3197</v>
      </c>
      <c r="G565" s="59" t="s">
        <v>3198</v>
      </c>
      <c r="H565" s="59" t="s">
        <v>3199</v>
      </c>
      <c r="I565" s="59" t="s">
        <v>3200</v>
      </c>
      <c r="J565" s="59">
        <v>2009</v>
      </c>
      <c r="K565" s="60">
        <v>0</v>
      </c>
      <c r="L565" s="60">
        <v>60</v>
      </c>
      <c r="M565" s="60">
        <v>0</v>
      </c>
      <c r="N565" s="61">
        <f t="shared" si="11"/>
        <v>60</v>
      </c>
      <c r="O565" s="60">
        <v>12573</v>
      </c>
      <c r="P565" s="60" t="s">
        <v>68</v>
      </c>
      <c r="Q565" s="59" t="s">
        <v>3201</v>
      </c>
      <c r="R565" s="59" t="s">
        <v>888</v>
      </c>
      <c r="S565" s="134"/>
      <c r="T565" s="65"/>
      <c r="U565" s="22" t="s">
        <v>3202</v>
      </c>
      <c r="V565" s="59" t="s">
        <v>3203</v>
      </c>
    </row>
    <row r="566" spans="2:22" ht="15" customHeight="1" x14ac:dyDescent="0.3">
      <c r="B566" s="22">
        <v>559</v>
      </c>
      <c r="C566" s="22" t="s">
        <v>2892</v>
      </c>
      <c r="D566" s="22" t="s">
        <v>3195</v>
      </c>
      <c r="E566" s="59" t="s">
        <v>3204</v>
      </c>
      <c r="F566" s="59" t="s">
        <v>3197</v>
      </c>
      <c r="G566" s="59" t="s">
        <v>3205</v>
      </c>
      <c r="H566" s="59" t="s">
        <v>3206</v>
      </c>
      <c r="I566" s="59" t="s">
        <v>3200</v>
      </c>
      <c r="J566" s="59">
        <v>2019</v>
      </c>
      <c r="K566" s="60">
        <v>0</v>
      </c>
      <c r="L566" s="60">
        <v>200</v>
      </c>
      <c r="M566" s="60">
        <v>0</v>
      </c>
      <c r="N566" s="61">
        <f t="shared" ref="N566:N575" si="12">SUM(K566:M566)</f>
        <v>200</v>
      </c>
      <c r="O566" s="60">
        <v>20321</v>
      </c>
      <c r="P566" s="60" t="s">
        <v>68</v>
      </c>
      <c r="Q566" s="55" t="s">
        <v>2960</v>
      </c>
      <c r="R566" s="59"/>
      <c r="S566" s="134"/>
      <c r="T566" s="65"/>
      <c r="U566" s="22" t="s">
        <v>3202</v>
      </c>
      <c r="V566" s="59" t="s">
        <v>3207</v>
      </c>
    </row>
    <row r="567" spans="2:22" ht="15" customHeight="1" x14ac:dyDescent="0.3">
      <c r="B567" s="22">
        <v>560</v>
      </c>
      <c r="C567" s="22" t="s">
        <v>2892</v>
      </c>
      <c r="D567" s="22" t="s">
        <v>3195</v>
      </c>
      <c r="E567" s="59" t="s">
        <v>3208</v>
      </c>
      <c r="F567" s="59" t="s">
        <v>3209</v>
      </c>
      <c r="G567" s="59" t="s">
        <v>3210</v>
      </c>
      <c r="H567" s="59" t="s">
        <v>3211</v>
      </c>
      <c r="I567" s="59" t="s">
        <v>3200</v>
      </c>
      <c r="J567" s="59">
        <v>2021</v>
      </c>
      <c r="K567" s="60">
        <v>0</v>
      </c>
      <c r="L567" s="60">
        <v>200</v>
      </c>
      <c r="M567" s="60">
        <v>0</v>
      </c>
      <c r="N567" s="61">
        <f t="shared" si="12"/>
        <v>200</v>
      </c>
      <c r="O567" s="60">
        <v>3812</v>
      </c>
      <c r="P567" s="60" t="s">
        <v>68</v>
      </c>
      <c r="Q567" s="55" t="s">
        <v>2960</v>
      </c>
      <c r="R567" s="59"/>
      <c r="S567" s="134"/>
      <c r="T567" s="65"/>
      <c r="U567" s="22" t="s">
        <v>3202</v>
      </c>
      <c r="V567" s="59" t="s">
        <v>3207</v>
      </c>
    </row>
    <row r="568" spans="2:22" ht="15" customHeight="1" x14ac:dyDescent="0.3">
      <c r="B568" s="22">
        <v>561</v>
      </c>
      <c r="C568" s="22" t="s">
        <v>2892</v>
      </c>
      <c r="D568" s="22" t="s">
        <v>3195</v>
      </c>
      <c r="E568" s="59" t="s">
        <v>3212</v>
      </c>
      <c r="F568" s="59" t="s">
        <v>2904</v>
      </c>
      <c r="G568" s="59" t="s">
        <v>3213</v>
      </c>
      <c r="H568" s="59" t="s">
        <v>3214</v>
      </c>
      <c r="I568" s="59" t="s">
        <v>3200</v>
      </c>
      <c r="J568" s="59">
        <v>2019</v>
      </c>
      <c r="K568" s="60">
        <v>0</v>
      </c>
      <c r="L568" s="60">
        <v>650</v>
      </c>
      <c r="M568" s="60">
        <v>0</v>
      </c>
      <c r="N568" s="61">
        <f t="shared" si="12"/>
        <v>650</v>
      </c>
      <c r="O568" s="63">
        <v>241552</v>
      </c>
      <c r="P568" s="60" t="s">
        <v>68</v>
      </c>
      <c r="Q568" s="59" t="s">
        <v>3215</v>
      </c>
      <c r="R568" s="59" t="s">
        <v>3216</v>
      </c>
      <c r="S568" s="88" t="s">
        <v>3217</v>
      </c>
      <c r="T568" s="65"/>
      <c r="U568" s="22" t="s">
        <v>3202</v>
      </c>
      <c r="V568" s="59" t="s">
        <v>3207</v>
      </c>
    </row>
    <row r="569" spans="2:22" ht="15" customHeight="1" x14ac:dyDescent="0.3">
      <c r="B569" s="22">
        <v>562</v>
      </c>
      <c r="C569" s="22" t="s">
        <v>2892</v>
      </c>
      <c r="D569" s="22" t="s">
        <v>3195</v>
      </c>
      <c r="E569" s="55" t="s">
        <v>3218</v>
      </c>
      <c r="F569" s="55" t="s">
        <v>3197</v>
      </c>
      <c r="G569" s="55" t="s">
        <v>3219</v>
      </c>
      <c r="H569" s="55" t="s">
        <v>3220</v>
      </c>
      <c r="I569" s="55" t="s">
        <v>3200</v>
      </c>
      <c r="J569" s="55">
        <v>1995</v>
      </c>
      <c r="K569" s="57">
        <v>0</v>
      </c>
      <c r="L569" s="57">
        <v>40</v>
      </c>
      <c r="M569" s="57">
        <v>0</v>
      </c>
      <c r="N569" s="52">
        <f t="shared" si="12"/>
        <v>40</v>
      </c>
      <c r="O569" s="72" t="s">
        <v>3221</v>
      </c>
      <c r="P569" s="57" t="s">
        <v>68</v>
      </c>
      <c r="Q569" s="55" t="s">
        <v>3222</v>
      </c>
      <c r="R569" s="55" t="s">
        <v>3216</v>
      </c>
      <c r="S569" s="128"/>
      <c r="T569" s="14"/>
      <c r="U569" s="8" t="s">
        <v>3202</v>
      </c>
      <c r="V569" s="55" t="s">
        <v>3207</v>
      </c>
    </row>
    <row r="570" spans="2:22" ht="15" customHeight="1" x14ac:dyDescent="0.3">
      <c r="B570" s="22">
        <v>563</v>
      </c>
      <c r="C570" s="22" t="s">
        <v>13</v>
      </c>
      <c r="D570" s="22" t="s">
        <v>3223</v>
      </c>
      <c r="E570" s="59" t="s">
        <v>3224</v>
      </c>
      <c r="F570" s="59" t="s">
        <v>55</v>
      </c>
      <c r="G570" s="59" t="s">
        <v>2557</v>
      </c>
      <c r="H570" s="59" t="s">
        <v>3225</v>
      </c>
      <c r="I570" s="59" t="s">
        <v>422</v>
      </c>
      <c r="J570" s="59">
        <v>1997</v>
      </c>
      <c r="K570" s="60">
        <v>30</v>
      </c>
      <c r="L570" s="60">
        <v>960</v>
      </c>
      <c r="M570" s="60">
        <v>0</v>
      </c>
      <c r="N570" s="61">
        <f t="shared" si="12"/>
        <v>990</v>
      </c>
      <c r="O570" s="60">
        <v>3570000</v>
      </c>
      <c r="P570" s="60" t="s">
        <v>68</v>
      </c>
      <c r="Q570" s="59" t="s">
        <v>3226</v>
      </c>
      <c r="R570" s="59" t="s">
        <v>888</v>
      </c>
      <c r="S570" s="88" t="s">
        <v>3227</v>
      </c>
      <c r="T570" s="22" t="s">
        <v>43</v>
      </c>
      <c r="U570" s="22" t="s">
        <v>3228</v>
      </c>
      <c r="V570" s="59" t="s">
        <v>3229</v>
      </c>
    </row>
    <row r="571" spans="2:22" ht="15" customHeight="1" x14ac:dyDescent="0.3">
      <c r="B571" s="22">
        <v>564</v>
      </c>
      <c r="C571" s="22" t="s">
        <v>13</v>
      </c>
      <c r="D571" s="22" t="s">
        <v>3223</v>
      </c>
      <c r="E571" s="59" t="s">
        <v>3230</v>
      </c>
      <c r="F571" s="59" t="s">
        <v>95</v>
      </c>
      <c r="G571" s="59" t="s">
        <v>948</v>
      </c>
      <c r="H571" s="59" t="s">
        <v>3231</v>
      </c>
      <c r="I571" s="59" t="s">
        <v>422</v>
      </c>
      <c r="J571" s="59">
        <v>2009</v>
      </c>
      <c r="K571" s="60">
        <v>0</v>
      </c>
      <c r="L571" s="60">
        <v>300</v>
      </c>
      <c r="M571" s="60">
        <v>0</v>
      </c>
      <c r="N571" s="61">
        <f t="shared" si="12"/>
        <v>300</v>
      </c>
      <c r="O571" s="60">
        <v>150000</v>
      </c>
      <c r="P571" s="60" t="s">
        <v>68</v>
      </c>
      <c r="Q571" s="59" t="s">
        <v>2960</v>
      </c>
      <c r="R571" s="59"/>
      <c r="S571" s="88" t="s">
        <v>3227</v>
      </c>
      <c r="T571" s="22"/>
      <c r="U571" s="22" t="s">
        <v>3232</v>
      </c>
      <c r="V571" s="59" t="s">
        <v>3233</v>
      </c>
    </row>
    <row r="572" spans="2:22" ht="15" customHeight="1" x14ac:dyDescent="0.3">
      <c r="B572" s="22">
        <v>565</v>
      </c>
      <c r="C572" s="22" t="s">
        <v>13</v>
      </c>
      <c r="D572" s="22" t="s">
        <v>3223</v>
      </c>
      <c r="E572" s="59" t="s">
        <v>3234</v>
      </c>
      <c r="F572" s="59" t="s">
        <v>50</v>
      </c>
      <c r="G572" s="59" t="s">
        <v>167</v>
      </c>
      <c r="H572" s="59" t="s">
        <v>3235</v>
      </c>
      <c r="I572" s="59" t="s">
        <v>422</v>
      </c>
      <c r="J572" s="59">
        <v>2015</v>
      </c>
      <c r="K572" s="60">
        <v>0</v>
      </c>
      <c r="L572" s="60">
        <v>150</v>
      </c>
      <c r="M572" s="60">
        <v>0</v>
      </c>
      <c r="N572" s="61">
        <f t="shared" si="12"/>
        <v>150</v>
      </c>
      <c r="O572" s="60">
        <v>30000</v>
      </c>
      <c r="P572" s="60" t="s">
        <v>68</v>
      </c>
      <c r="Q572" s="59" t="s">
        <v>3236</v>
      </c>
      <c r="R572" s="59" t="s">
        <v>888</v>
      </c>
      <c r="S572" s="88" t="s">
        <v>3227</v>
      </c>
      <c r="T572" s="22"/>
      <c r="U572" s="22" t="s">
        <v>3232</v>
      </c>
      <c r="V572" s="59" t="s">
        <v>3233</v>
      </c>
    </row>
    <row r="573" spans="2:22" ht="15" customHeight="1" x14ac:dyDescent="0.3">
      <c r="B573" s="22">
        <v>566</v>
      </c>
      <c r="C573" s="22" t="s">
        <v>13</v>
      </c>
      <c r="D573" s="22" t="s">
        <v>3223</v>
      </c>
      <c r="E573" s="55" t="s">
        <v>3237</v>
      </c>
      <c r="F573" s="55" t="s">
        <v>390</v>
      </c>
      <c r="G573" s="55" t="s">
        <v>2376</v>
      </c>
      <c r="H573" s="55" t="s">
        <v>422</v>
      </c>
      <c r="I573" s="55" t="s">
        <v>422</v>
      </c>
      <c r="J573" s="55">
        <v>1997</v>
      </c>
      <c r="K573" s="60">
        <v>0</v>
      </c>
      <c r="L573" s="57">
        <v>100</v>
      </c>
      <c r="M573" s="57">
        <v>80</v>
      </c>
      <c r="N573" s="61">
        <f t="shared" si="12"/>
        <v>180</v>
      </c>
      <c r="O573" s="57">
        <v>30000</v>
      </c>
      <c r="P573" s="60" t="s">
        <v>68</v>
      </c>
      <c r="Q573" s="55" t="s">
        <v>3238</v>
      </c>
      <c r="R573" s="55" t="s">
        <v>888</v>
      </c>
      <c r="S573" s="88" t="s">
        <v>3227</v>
      </c>
      <c r="T573" s="8"/>
      <c r="U573" s="8" t="s">
        <v>3239</v>
      </c>
      <c r="V573" s="55" t="s">
        <v>3240</v>
      </c>
    </row>
    <row r="574" spans="2:22" ht="15" customHeight="1" x14ac:dyDescent="0.3">
      <c r="B574" s="22">
        <v>567</v>
      </c>
      <c r="C574" s="22" t="s">
        <v>13</v>
      </c>
      <c r="D574" s="22" t="s">
        <v>3241</v>
      </c>
      <c r="E574" s="55" t="s">
        <v>3242</v>
      </c>
      <c r="F574" s="55" t="s">
        <v>95</v>
      </c>
      <c r="G574" s="55" t="s">
        <v>3243</v>
      </c>
      <c r="H574" s="55" t="s">
        <v>3244</v>
      </c>
      <c r="I574" s="55" t="s">
        <v>51</v>
      </c>
      <c r="J574" s="55">
        <v>1997</v>
      </c>
      <c r="K574" s="57">
        <v>0</v>
      </c>
      <c r="L574" s="57">
        <v>700</v>
      </c>
      <c r="M574" s="57">
        <v>0</v>
      </c>
      <c r="N574" s="52">
        <f t="shared" si="12"/>
        <v>700</v>
      </c>
      <c r="O574" s="57">
        <v>371704</v>
      </c>
      <c r="P574" s="57" t="s">
        <v>68</v>
      </c>
      <c r="Q574" s="55" t="s">
        <v>3245</v>
      </c>
      <c r="R574" s="55" t="s">
        <v>888</v>
      </c>
      <c r="S574" s="84" t="s">
        <v>3246</v>
      </c>
      <c r="T574" s="8"/>
      <c r="U574" s="8" t="s">
        <v>3247</v>
      </c>
      <c r="V574" s="55" t="s">
        <v>3248</v>
      </c>
    </row>
    <row r="575" spans="2:22" ht="15" customHeight="1" x14ac:dyDescent="0.3">
      <c r="B575" s="22">
        <v>568</v>
      </c>
      <c r="C575" s="22" t="s">
        <v>13</v>
      </c>
      <c r="D575" s="22" t="s">
        <v>3241</v>
      </c>
      <c r="E575" s="59" t="s">
        <v>3249</v>
      </c>
      <c r="F575" s="59" t="s">
        <v>95</v>
      </c>
      <c r="G575" s="59" t="s">
        <v>3250</v>
      </c>
      <c r="H575" s="59" t="s">
        <v>3251</v>
      </c>
      <c r="I575" s="59" t="s">
        <v>51</v>
      </c>
      <c r="J575" s="59">
        <v>2013</v>
      </c>
      <c r="K575" s="60">
        <v>0</v>
      </c>
      <c r="L575" s="60">
        <v>500</v>
      </c>
      <c r="M575" s="60">
        <v>0</v>
      </c>
      <c r="N575" s="61">
        <f t="shared" si="12"/>
        <v>500</v>
      </c>
      <c r="O575" s="60">
        <v>222076</v>
      </c>
      <c r="P575" s="60" t="s">
        <v>68</v>
      </c>
      <c r="Q575" s="59" t="s">
        <v>3245</v>
      </c>
      <c r="R575" s="59" t="s">
        <v>888</v>
      </c>
      <c r="S575" s="88" t="s">
        <v>3246</v>
      </c>
      <c r="T575" s="22"/>
      <c r="U575" s="22" t="s">
        <v>3247</v>
      </c>
      <c r="V575" s="59" t="s">
        <v>3248</v>
      </c>
    </row>
    <row r="576" spans="2:22" ht="15" customHeight="1" x14ac:dyDescent="0.3">
      <c r="B576" s="22">
        <v>569</v>
      </c>
      <c r="C576" s="22" t="s">
        <v>13</v>
      </c>
      <c r="D576" s="22" t="s">
        <v>3241</v>
      </c>
      <c r="E576" s="59" t="s">
        <v>3252</v>
      </c>
      <c r="F576" s="55" t="s">
        <v>1243</v>
      </c>
      <c r="G576" s="59" t="s">
        <v>1391</v>
      </c>
      <c r="H576" s="59" t="s">
        <v>3253</v>
      </c>
      <c r="I576" s="59" t="s">
        <v>51</v>
      </c>
      <c r="J576" s="59">
        <v>2019</v>
      </c>
      <c r="K576" s="60">
        <v>0</v>
      </c>
      <c r="L576" s="60">
        <v>0</v>
      </c>
      <c r="M576" s="60">
        <v>0</v>
      </c>
      <c r="N576" s="60" t="s">
        <v>422</v>
      </c>
      <c r="O576" s="60">
        <v>0</v>
      </c>
      <c r="P576" s="60" t="s">
        <v>68</v>
      </c>
      <c r="Q576" s="59" t="s">
        <v>2960</v>
      </c>
      <c r="R576" s="59"/>
      <c r="S576" s="88"/>
      <c r="T576" s="22"/>
      <c r="U576" s="22" t="s">
        <v>3247</v>
      </c>
      <c r="V576" s="59" t="s">
        <v>3248</v>
      </c>
    </row>
    <row r="577" spans="2:22" ht="15" customHeight="1" x14ac:dyDescent="0.3">
      <c r="B577" s="22">
        <v>570</v>
      </c>
      <c r="C577" s="22" t="s">
        <v>13</v>
      </c>
      <c r="D577" s="22" t="s">
        <v>3254</v>
      </c>
      <c r="E577" s="59" t="s">
        <v>3255</v>
      </c>
      <c r="F577" s="59" t="s">
        <v>95</v>
      </c>
      <c r="G577" s="59" t="s">
        <v>3256</v>
      </c>
      <c r="H577" s="59" t="s">
        <v>3257</v>
      </c>
      <c r="I577" s="59" t="s">
        <v>67</v>
      </c>
      <c r="J577" s="59">
        <v>1999</v>
      </c>
      <c r="K577" s="60">
        <v>0</v>
      </c>
      <c r="L577" s="60">
        <v>1000</v>
      </c>
      <c r="M577" s="60">
        <v>0</v>
      </c>
      <c r="N577" s="60">
        <f t="shared" ref="N577:N599" si="13">SUM(K577:M577)</f>
        <v>1000</v>
      </c>
      <c r="O577" s="60">
        <v>0</v>
      </c>
      <c r="P577" s="60" t="s">
        <v>68</v>
      </c>
      <c r="Q577" s="59" t="s">
        <v>3258</v>
      </c>
      <c r="R577" s="59" t="s">
        <v>42</v>
      </c>
      <c r="S577" s="88" t="s">
        <v>3259</v>
      </c>
      <c r="T577" s="22"/>
      <c r="U577" s="22" t="s">
        <v>3260</v>
      </c>
      <c r="V577" s="59" t="s">
        <v>3261</v>
      </c>
    </row>
    <row r="578" spans="2:22" ht="15" customHeight="1" x14ac:dyDescent="0.3">
      <c r="B578" s="22">
        <v>571</v>
      </c>
      <c r="C578" s="22" t="s">
        <v>13</v>
      </c>
      <c r="D578" s="22" t="s">
        <v>3254</v>
      </c>
      <c r="E578" s="55" t="s">
        <v>3262</v>
      </c>
      <c r="F578" s="55" t="s">
        <v>95</v>
      </c>
      <c r="G578" s="55" t="s">
        <v>3263</v>
      </c>
      <c r="H578" s="55" t="s">
        <v>3257</v>
      </c>
      <c r="I578" s="55" t="s">
        <v>67</v>
      </c>
      <c r="J578" s="55">
        <v>2004</v>
      </c>
      <c r="K578" s="57">
        <v>0</v>
      </c>
      <c r="L578" s="57">
        <v>800</v>
      </c>
      <c r="M578" s="57">
        <v>0</v>
      </c>
      <c r="N578" s="57">
        <f t="shared" si="13"/>
        <v>800</v>
      </c>
      <c r="O578" s="57">
        <v>116793</v>
      </c>
      <c r="P578" s="57" t="s">
        <v>68</v>
      </c>
      <c r="Q578" s="55" t="s">
        <v>3258</v>
      </c>
      <c r="R578" s="55" t="s">
        <v>42</v>
      </c>
      <c r="S578" s="84" t="s">
        <v>3259</v>
      </c>
      <c r="T578" s="8"/>
      <c r="U578" s="8" t="s">
        <v>3260</v>
      </c>
      <c r="V578" s="55" t="s">
        <v>3261</v>
      </c>
    </row>
    <row r="579" spans="2:22" ht="15" customHeight="1" x14ac:dyDescent="0.3">
      <c r="B579" s="22">
        <v>572</v>
      </c>
      <c r="C579" s="22" t="s">
        <v>13</v>
      </c>
      <c r="D579" s="22" t="s">
        <v>3254</v>
      </c>
      <c r="E579" s="59" t="s">
        <v>3264</v>
      </c>
      <c r="F579" s="59" t="s">
        <v>95</v>
      </c>
      <c r="G579" s="59" t="s">
        <v>3265</v>
      </c>
      <c r="H579" s="59" t="s">
        <v>3266</v>
      </c>
      <c r="I579" s="59" t="s">
        <v>51</v>
      </c>
      <c r="J579" s="59">
        <v>2000</v>
      </c>
      <c r="K579" s="60">
        <v>0</v>
      </c>
      <c r="L579" s="60">
        <v>60</v>
      </c>
      <c r="M579" s="60">
        <v>0</v>
      </c>
      <c r="N579" s="60">
        <f t="shared" si="13"/>
        <v>60</v>
      </c>
      <c r="O579" s="60">
        <v>0</v>
      </c>
      <c r="P579" s="60" t="s">
        <v>68</v>
      </c>
      <c r="Q579" s="59" t="s">
        <v>3267</v>
      </c>
      <c r="R579" s="59" t="s">
        <v>888</v>
      </c>
      <c r="S579" s="88"/>
      <c r="T579" s="22"/>
      <c r="U579" s="22" t="s">
        <v>3268</v>
      </c>
      <c r="V579" s="59" t="s">
        <v>3269</v>
      </c>
    </row>
    <row r="580" spans="2:22" ht="15" customHeight="1" x14ac:dyDescent="0.3">
      <c r="B580" s="22">
        <v>573</v>
      </c>
      <c r="C580" s="22" t="s">
        <v>13</v>
      </c>
      <c r="D580" s="22" t="s">
        <v>3254</v>
      </c>
      <c r="E580" s="59" t="s">
        <v>3270</v>
      </c>
      <c r="F580" s="59" t="s">
        <v>390</v>
      </c>
      <c r="G580" s="59" t="s">
        <v>3271</v>
      </c>
      <c r="H580" s="59" t="s">
        <v>3272</v>
      </c>
      <c r="I580" s="59" t="s">
        <v>51</v>
      </c>
      <c r="J580" s="59">
        <v>2005</v>
      </c>
      <c r="K580" s="60">
        <v>0</v>
      </c>
      <c r="L580" s="60">
        <v>60</v>
      </c>
      <c r="M580" s="60">
        <v>0</v>
      </c>
      <c r="N580" s="60">
        <f t="shared" si="13"/>
        <v>60</v>
      </c>
      <c r="O580" s="60">
        <v>2000</v>
      </c>
      <c r="P580" s="60" t="s">
        <v>68</v>
      </c>
      <c r="Q580" s="59" t="s">
        <v>3273</v>
      </c>
      <c r="R580" s="59" t="s">
        <v>888</v>
      </c>
      <c r="S580" s="88"/>
      <c r="T580" s="22"/>
      <c r="U580" s="22" t="s">
        <v>3274</v>
      </c>
      <c r="V580" s="59" t="s">
        <v>3275</v>
      </c>
    </row>
    <row r="581" spans="2:22" ht="15" customHeight="1" x14ac:dyDescent="0.3">
      <c r="B581" s="22">
        <v>574</v>
      </c>
      <c r="C581" s="22" t="s">
        <v>13</v>
      </c>
      <c r="D581" s="22" t="s">
        <v>3276</v>
      </c>
      <c r="E581" s="59" t="s">
        <v>3277</v>
      </c>
      <c r="F581" s="59" t="s">
        <v>390</v>
      </c>
      <c r="G581" s="59" t="s">
        <v>2608</v>
      </c>
      <c r="H581" s="59" t="s">
        <v>3278</v>
      </c>
      <c r="I581" s="59" t="s">
        <v>67</v>
      </c>
      <c r="J581" s="59">
        <v>2016</v>
      </c>
      <c r="K581" s="60">
        <v>0</v>
      </c>
      <c r="L581" s="60">
        <v>70</v>
      </c>
      <c r="M581" s="60">
        <v>70</v>
      </c>
      <c r="N581" s="60">
        <f t="shared" si="13"/>
        <v>140</v>
      </c>
      <c r="O581" s="60">
        <v>79813</v>
      </c>
      <c r="P581" s="60" t="s">
        <v>68</v>
      </c>
      <c r="Q581" s="59" t="s">
        <v>3279</v>
      </c>
      <c r="R581" s="59" t="s">
        <v>888</v>
      </c>
      <c r="S581" s="88"/>
      <c r="T581" s="22"/>
      <c r="U581" s="22" t="s">
        <v>3280</v>
      </c>
      <c r="V581" s="59" t="s">
        <v>3281</v>
      </c>
    </row>
    <row r="582" spans="2:22" ht="15" customHeight="1" x14ac:dyDescent="0.3">
      <c r="B582" s="22">
        <v>575</v>
      </c>
      <c r="C582" s="22" t="s">
        <v>13</v>
      </c>
      <c r="D582" s="22" t="s">
        <v>3276</v>
      </c>
      <c r="E582" s="59" t="s">
        <v>3282</v>
      </c>
      <c r="F582" s="59" t="s">
        <v>95</v>
      </c>
      <c r="G582" s="59" t="s">
        <v>3283</v>
      </c>
      <c r="H582" s="59" t="s">
        <v>3284</v>
      </c>
      <c r="I582" s="59" t="s">
        <v>67</v>
      </c>
      <c r="J582" s="59">
        <v>2011</v>
      </c>
      <c r="K582" s="60">
        <v>0</v>
      </c>
      <c r="L582" s="60">
        <v>50</v>
      </c>
      <c r="M582" s="60">
        <v>20</v>
      </c>
      <c r="N582" s="60">
        <f t="shared" si="13"/>
        <v>70</v>
      </c>
      <c r="O582" s="60">
        <v>28000</v>
      </c>
      <c r="P582" s="60" t="s">
        <v>68</v>
      </c>
      <c r="Q582" s="59" t="s">
        <v>3285</v>
      </c>
      <c r="R582" s="59" t="s">
        <v>888</v>
      </c>
      <c r="S582" s="88"/>
      <c r="T582" s="22"/>
      <c r="U582" s="22" t="s">
        <v>3286</v>
      </c>
      <c r="V582" s="59" t="s">
        <v>3287</v>
      </c>
    </row>
    <row r="583" spans="2:22" ht="15" customHeight="1" x14ac:dyDescent="0.3">
      <c r="B583" s="22">
        <v>576</v>
      </c>
      <c r="C583" s="22" t="s">
        <v>13</v>
      </c>
      <c r="D583" s="22" t="s">
        <v>3276</v>
      </c>
      <c r="E583" s="59" t="s">
        <v>3288</v>
      </c>
      <c r="F583" s="59" t="s">
        <v>55</v>
      </c>
      <c r="G583" s="59" t="s">
        <v>3289</v>
      </c>
      <c r="H583" s="59" t="s">
        <v>3290</v>
      </c>
      <c r="I583" s="59" t="s">
        <v>67</v>
      </c>
      <c r="J583" s="59" t="s">
        <v>3291</v>
      </c>
      <c r="K583" s="60">
        <v>0</v>
      </c>
      <c r="L583" s="60">
        <v>250</v>
      </c>
      <c r="M583" s="60">
        <v>140</v>
      </c>
      <c r="N583" s="60">
        <f t="shared" si="13"/>
        <v>390</v>
      </c>
      <c r="O583" s="60">
        <v>105371</v>
      </c>
      <c r="P583" s="60" t="s">
        <v>68</v>
      </c>
      <c r="Q583" s="59" t="s">
        <v>3292</v>
      </c>
      <c r="R583" s="59" t="s">
        <v>173</v>
      </c>
      <c r="S583" s="88"/>
      <c r="T583" s="22"/>
      <c r="U583" s="22" t="s">
        <v>3293</v>
      </c>
      <c r="V583" s="59" t="s">
        <v>3294</v>
      </c>
    </row>
    <row r="584" spans="2:22" ht="15" customHeight="1" x14ac:dyDescent="0.3">
      <c r="B584" s="22">
        <v>577</v>
      </c>
      <c r="C584" s="22" t="s">
        <v>13</v>
      </c>
      <c r="D584" s="22" t="s">
        <v>3276</v>
      </c>
      <c r="E584" s="59" t="s">
        <v>3295</v>
      </c>
      <c r="F584" s="59" t="s">
        <v>95</v>
      </c>
      <c r="G584" s="59" t="s">
        <v>3296</v>
      </c>
      <c r="H584" s="59" t="s">
        <v>3297</v>
      </c>
      <c r="I584" s="59" t="s">
        <v>67</v>
      </c>
      <c r="J584" s="59">
        <v>2009</v>
      </c>
      <c r="K584" s="60">
        <v>0</v>
      </c>
      <c r="L584" s="60">
        <v>64</v>
      </c>
      <c r="M584" s="60">
        <v>20</v>
      </c>
      <c r="N584" s="60">
        <f t="shared" si="13"/>
        <v>84</v>
      </c>
      <c r="O584" s="60">
        <v>25000</v>
      </c>
      <c r="P584" s="60" t="s">
        <v>68</v>
      </c>
      <c r="Q584" s="59" t="s">
        <v>3298</v>
      </c>
      <c r="R584" s="59" t="s">
        <v>888</v>
      </c>
      <c r="S584" s="88"/>
      <c r="T584" s="22"/>
      <c r="U584" s="22" t="s">
        <v>3299</v>
      </c>
      <c r="V584" s="59" t="s">
        <v>3300</v>
      </c>
    </row>
    <row r="585" spans="2:22" ht="15" customHeight="1" x14ac:dyDescent="0.3">
      <c r="B585" s="22">
        <v>578</v>
      </c>
      <c r="C585" s="22" t="s">
        <v>13</v>
      </c>
      <c r="D585" s="22" t="s">
        <v>3276</v>
      </c>
      <c r="E585" s="59" t="s">
        <v>3301</v>
      </c>
      <c r="F585" s="59" t="s">
        <v>95</v>
      </c>
      <c r="G585" s="59" t="s">
        <v>3302</v>
      </c>
      <c r="H585" s="59" t="s">
        <v>3303</v>
      </c>
      <c r="I585" s="59" t="s">
        <v>67</v>
      </c>
      <c r="J585" s="59">
        <v>2001</v>
      </c>
      <c r="K585" s="60">
        <v>0</v>
      </c>
      <c r="L585" s="60">
        <v>358</v>
      </c>
      <c r="M585" s="60">
        <v>40</v>
      </c>
      <c r="N585" s="60">
        <f t="shared" si="13"/>
        <v>398</v>
      </c>
      <c r="O585" s="60">
        <v>233919</v>
      </c>
      <c r="P585" s="60" t="s">
        <v>68</v>
      </c>
      <c r="Q585" s="59" t="s">
        <v>3304</v>
      </c>
      <c r="R585" s="59" t="s">
        <v>888</v>
      </c>
      <c r="S585" s="88"/>
      <c r="T585" s="22"/>
      <c r="U585" s="22" t="s">
        <v>3293</v>
      </c>
      <c r="V585" s="59" t="s">
        <v>3294</v>
      </c>
    </row>
    <row r="586" spans="2:22" ht="15" customHeight="1" x14ac:dyDescent="0.3">
      <c r="B586" s="22">
        <v>579</v>
      </c>
      <c r="C586" s="22" t="s">
        <v>13</v>
      </c>
      <c r="D586" s="22" t="s">
        <v>3276</v>
      </c>
      <c r="E586" s="59" t="s">
        <v>3305</v>
      </c>
      <c r="F586" s="59" t="s">
        <v>95</v>
      </c>
      <c r="G586" s="59" t="s">
        <v>112</v>
      </c>
      <c r="H586" s="59" t="s">
        <v>2351</v>
      </c>
      <c r="I586" s="59" t="s">
        <v>67</v>
      </c>
      <c r="J586" s="59">
        <v>2009</v>
      </c>
      <c r="K586" s="60">
        <v>0</v>
      </c>
      <c r="L586" s="60">
        <v>57</v>
      </c>
      <c r="M586" s="60">
        <v>50</v>
      </c>
      <c r="N586" s="60">
        <f t="shared" si="13"/>
        <v>107</v>
      </c>
      <c r="O586" s="60">
        <v>20000</v>
      </c>
      <c r="P586" s="60" t="s">
        <v>68</v>
      </c>
      <c r="Q586" s="59" t="s">
        <v>3306</v>
      </c>
      <c r="R586" s="59" t="s">
        <v>888</v>
      </c>
      <c r="S586" s="88"/>
      <c r="T586" s="22"/>
      <c r="U586" s="22" t="s">
        <v>3307</v>
      </c>
      <c r="V586" s="59" t="s">
        <v>3308</v>
      </c>
    </row>
    <row r="587" spans="2:22" ht="15" customHeight="1" x14ac:dyDescent="0.3">
      <c r="B587" s="22">
        <v>580</v>
      </c>
      <c r="C587" s="22" t="s">
        <v>3309</v>
      </c>
      <c r="D587" s="22" t="s">
        <v>3310</v>
      </c>
      <c r="E587" s="59" t="s">
        <v>3311</v>
      </c>
      <c r="F587" s="59" t="s">
        <v>429</v>
      </c>
      <c r="G587" s="59" t="s">
        <v>2557</v>
      </c>
      <c r="H587" s="59" t="s">
        <v>3312</v>
      </c>
      <c r="I587" s="59" t="s">
        <v>292</v>
      </c>
      <c r="J587" s="59">
        <v>2015</v>
      </c>
      <c r="K587" s="60">
        <v>0</v>
      </c>
      <c r="L587" s="60">
        <v>60</v>
      </c>
      <c r="M587" s="60">
        <v>0</v>
      </c>
      <c r="N587" s="60">
        <f t="shared" si="13"/>
        <v>60</v>
      </c>
      <c r="O587" s="60">
        <v>0</v>
      </c>
      <c r="P587" s="60" t="s">
        <v>68</v>
      </c>
      <c r="Q587" s="59" t="s">
        <v>3313</v>
      </c>
      <c r="R587" s="59" t="s">
        <v>888</v>
      </c>
      <c r="S587" s="88" t="s">
        <v>3314</v>
      </c>
      <c r="T587" s="22"/>
      <c r="U587" s="22" t="s">
        <v>3315</v>
      </c>
      <c r="V587" s="59" t="s">
        <v>3316</v>
      </c>
    </row>
    <row r="588" spans="2:22" ht="15" customHeight="1" x14ac:dyDescent="0.3">
      <c r="B588" s="22">
        <v>581</v>
      </c>
      <c r="C588" s="22" t="s">
        <v>3309</v>
      </c>
      <c r="D588" s="22" t="s">
        <v>3310</v>
      </c>
      <c r="E588" s="59" t="s">
        <v>3317</v>
      </c>
      <c r="F588" s="59" t="s">
        <v>429</v>
      </c>
      <c r="G588" s="59" t="s">
        <v>178</v>
      </c>
      <c r="H588" s="59" t="s">
        <v>3318</v>
      </c>
      <c r="I588" s="59" t="s">
        <v>292</v>
      </c>
      <c r="J588" s="59">
        <v>1999</v>
      </c>
      <c r="K588" s="60">
        <v>0</v>
      </c>
      <c r="L588" s="60">
        <v>400</v>
      </c>
      <c r="M588" s="60">
        <v>0</v>
      </c>
      <c r="N588" s="60">
        <f t="shared" si="13"/>
        <v>400</v>
      </c>
      <c r="O588" s="60">
        <v>0</v>
      </c>
      <c r="P588" s="60" t="s">
        <v>68</v>
      </c>
      <c r="Q588" s="59" t="s">
        <v>3313</v>
      </c>
      <c r="R588" s="59" t="s">
        <v>888</v>
      </c>
      <c r="S588" s="88" t="s">
        <v>3314</v>
      </c>
      <c r="T588" s="22"/>
      <c r="U588" s="22" t="s">
        <v>3315</v>
      </c>
      <c r="V588" s="59" t="s">
        <v>3316</v>
      </c>
    </row>
    <row r="589" spans="2:22" ht="15" customHeight="1" x14ac:dyDescent="0.3">
      <c r="B589" s="22">
        <v>582</v>
      </c>
      <c r="C589" s="22" t="s">
        <v>3309</v>
      </c>
      <c r="D589" s="22" t="s">
        <v>3310</v>
      </c>
      <c r="E589" s="59" t="s">
        <v>3319</v>
      </c>
      <c r="F589" s="59" t="s">
        <v>429</v>
      </c>
      <c r="G589" s="59" t="s">
        <v>167</v>
      </c>
      <c r="H589" s="59" t="s">
        <v>3320</v>
      </c>
      <c r="I589" s="59" t="s">
        <v>292</v>
      </c>
      <c r="J589" s="59">
        <v>2015</v>
      </c>
      <c r="K589" s="60">
        <v>0</v>
      </c>
      <c r="L589" s="60">
        <v>100</v>
      </c>
      <c r="M589" s="60">
        <v>0</v>
      </c>
      <c r="N589" s="60">
        <f t="shared" si="13"/>
        <v>100</v>
      </c>
      <c r="O589" s="60">
        <v>0</v>
      </c>
      <c r="P589" s="60" t="s">
        <v>68</v>
      </c>
      <c r="Q589" s="59" t="s">
        <v>3313</v>
      </c>
      <c r="R589" s="59" t="s">
        <v>888</v>
      </c>
      <c r="S589" s="88" t="s">
        <v>3314</v>
      </c>
      <c r="T589" s="22"/>
      <c r="U589" s="22" t="s">
        <v>3321</v>
      </c>
      <c r="V589" s="59" t="s">
        <v>3322</v>
      </c>
    </row>
    <row r="590" spans="2:22" ht="15" customHeight="1" x14ac:dyDescent="0.3">
      <c r="B590" s="22">
        <v>583</v>
      </c>
      <c r="C590" s="22" t="s">
        <v>3309</v>
      </c>
      <c r="D590" s="22" t="s">
        <v>3310</v>
      </c>
      <c r="E590" s="59" t="s">
        <v>3323</v>
      </c>
      <c r="F590" s="59" t="s">
        <v>429</v>
      </c>
      <c r="G590" s="59" t="s">
        <v>167</v>
      </c>
      <c r="H590" s="59" t="s">
        <v>3324</v>
      </c>
      <c r="I590" s="59" t="s">
        <v>292</v>
      </c>
      <c r="J590" s="59">
        <v>2008</v>
      </c>
      <c r="K590" s="60">
        <v>0</v>
      </c>
      <c r="L590" s="60">
        <v>30</v>
      </c>
      <c r="M590" s="60">
        <v>0</v>
      </c>
      <c r="N590" s="60">
        <f t="shared" si="13"/>
        <v>30</v>
      </c>
      <c r="O590" s="60">
        <v>0</v>
      </c>
      <c r="P590" s="60" t="s">
        <v>68</v>
      </c>
      <c r="Q590" s="59" t="s">
        <v>3313</v>
      </c>
      <c r="R590" s="59" t="s">
        <v>888</v>
      </c>
      <c r="S590" s="88" t="s">
        <v>3314</v>
      </c>
      <c r="T590" s="22"/>
      <c r="U590" s="22" t="s">
        <v>3315</v>
      </c>
      <c r="V590" s="59" t="s">
        <v>3316</v>
      </c>
    </row>
    <row r="591" spans="2:22" ht="15" customHeight="1" x14ac:dyDescent="0.3">
      <c r="B591" s="22">
        <v>584</v>
      </c>
      <c r="C591" s="22" t="s">
        <v>3309</v>
      </c>
      <c r="D591" s="22" t="s">
        <v>3310</v>
      </c>
      <c r="E591" s="59" t="s">
        <v>3325</v>
      </c>
      <c r="F591" s="59" t="s">
        <v>429</v>
      </c>
      <c r="G591" s="59" t="s">
        <v>2788</v>
      </c>
      <c r="H591" s="59" t="s">
        <v>3326</v>
      </c>
      <c r="I591" s="59" t="s">
        <v>292</v>
      </c>
      <c r="J591" s="59">
        <v>1996</v>
      </c>
      <c r="K591" s="60">
        <v>0</v>
      </c>
      <c r="L591" s="60">
        <v>20</v>
      </c>
      <c r="M591" s="60">
        <v>0</v>
      </c>
      <c r="N591" s="60">
        <f t="shared" si="13"/>
        <v>20</v>
      </c>
      <c r="O591" s="60">
        <v>0</v>
      </c>
      <c r="P591" s="60" t="s">
        <v>68</v>
      </c>
      <c r="Q591" s="59" t="s">
        <v>3313</v>
      </c>
      <c r="R591" s="59" t="s">
        <v>888</v>
      </c>
      <c r="S591" s="88" t="s">
        <v>3314</v>
      </c>
      <c r="T591" s="22"/>
      <c r="U591" s="22" t="s">
        <v>3315</v>
      </c>
      <c r="V591" s="59" t="s">
        <v>3316</v>
      </c>
    </row>
    <row r="592" spans="2:22" ht="15" customHeight="1" x14ac:dyDescent="0.3">
      <c r="B592" s="22">
        <v>585</v>
      </c>
      <c r="C592" s="22" t="s">
        <v>13</v>
      </c>
      <c r="D592" s="22" t="s">
        <v>3327</v>
      </c>
      <c r="E592" s="59" t="s">
        <v>3328</v>
      </c>
      <c r="F592" s="59" t="s">
        <v>50</v>
      </c>
      <c r="G592" s="59" t="s">
        <v>3083</v>
      </c>
      <c r="H592" s="59" t="s">
        <v>3329</v>
      </c>
      <c r="I592" s="59" t="s">
        <v>67</v>
      </c>
      <c r="J592" s="59">
        <v>1995</v>
      </c>
      <c r="K592" s="60">
        <v>0</v>
      </c>
      <c r="L592" s="60">
        <v>785</v>
      </c>
      <c r="M592" s="60">
        <v>0</v>
      </c>
      <c r="N592" s="60">
        <f t="shared" si="13"/>
        <v>785</v>
      </c>
      <c r="O592" s="60">
        <v>0</v>
      </c>
      <c r="P592" s="60" t="s">
        <v>68</v>
      </c>
      <c r="Q592" s="59" t="s">
        <v>3330</v>
      </c>
      <c r="R592" s="59" t="s">
        <v>888</v>
      </c>
      <c r="S592" s="88" t="s">
        <v>3331</v>
      </c>
      <c r="T592" s="22"/>
      <c r="U592" s="22" t="s">
        <v>3332</v>
      </c>
      <c r="V592" s="59" t="s">
        <v>3333</v>
      </c>
    </row>
    <row r="593" spans="2:22" ht="15" customHeight="1" x14ac:dyDescent="0.3">
      <c r="B593" s="22">
        <v>586</v>
      </c>
      <c r="C593" s="22" t="s">
        <v>13</v>
      </c>
      <c r="D593" s="22" t="s">
        <v>3327</v>
      </c>
      <c r="E593" s="59" t="s">
        <v>3334</v>
      </c>
      <c r="F593" s="59" t="s">
        <v>95</v>
      </c>
      <c r="G593" s="59" t="s">
        <v>3335</v>
      </c>
      <c r="H593" s="59" t="s">
        <v>3336</v>
      </c>
      <c r="I593" s="59" t="s">
        <v>67</v>
      </c>
      <c r="J593" s="59">
        <v>2009</v>
      </c>
      <c r="K593" s="60">
        <v>0</v>
      </c>
      <c r="L593" s="60">
        <v>250</v>
      </c>
      <c r="M593" s="60">
        <v>0</v>
      </c>
      <c r="N593" s="60">
        <f t="shared" si="13"/>
        <v>250</v>
      </c>
      <c r="O593" s="60">
        <v>0</v>
      </c>
      <c r="P593" s="60" t="s">
        <v>68</v>
      </c>
      <c r="Q593" s="59" t="s">
        <v>3337</v>
      </c>
      <c r="R593" s="59" t="s">
        <v>888</v>
      </c>
      <c r="S593" s="88" t="s">
        <v>3331</v>
      </c>
      <c r="T593" s="22"/>
      <c r="U593" s="22" t="s">
        <v>3338</v>
      </c>
      <c r="V593" s="59" t="s">
        <v>3339</v>
      </c>
    </row>
    <row r="594" spans="2:22" ht="15" customHeight="1" x14ac:dyDescent="0.3">
      <c r="B594" s="22">
        <v>587</v>
      </c>
      <c r="C594" s="22" t="s">
        <v>13</v>
      </c>
      <c r="D594" s="22" t="s">
        <v>3327</v>
      </c>
      <c r="E594" s="59" t="s">
        <v>3340</v>
      </c>
      <c r="F594" s="59" t="s">
        <v>55</v>
      </c>
      <c r="G594" s="59" t="s">
        <v>167</v>
      </c>
      <c r="H594" s="59" t="s">
        <v>3341</v>
      </c>
      <c r="I594" s="59" t="s">
        <v>67</v>
      </c>
      <c r="J594" s="59">
        <v>2015</v>
      </c>
      <c r="K594" s="60">
        <v>0</v>
      </c>
      <c r="L594" s="60">
        <v>280</v>
      </c>
      <c r="M594" s="60">
        <v>0</v>
      </c>
      <c r="N594" s="60">
        <f t="shared" si="13"/>
        <v>280</v>
      </c>
      <c r="O594" s="60">
        <v>0</v>
      </c>
      <c r="P594" s="60" t="s">
        <v>68</v>
      </c>
      <c r="Q594" s="59" t="s">
        <v>3342</v>
      </c>
      <c r="R594" s="59" t="s">
        <v>888</v>
      </c>
      <c r="S594" s="88" t="s">
        <v>3343</v>
      </c>
      <c r="T594" s="22"/>
      <c r="U594" s="22" t="s">
        <v>3332</v>
      </c>
      <c r="V594" s="59" t="s">
        <v>3333</v>
      </c>
    </row>
    <row r="595" spans="2:22" ht="15" customHeight="1" x14ac:dyDescent="0.3">
      <c r="B595" s="22">
        <v>588</v>
      </c>
      <c r="C595" s="22" t="s">
        <v>13</v>
      </c>
      <c r="D595" s="22" t="s">
        <v>3344</v>
      </c>
      <c r="E595" s="59" t="s">
        <v>3345</v>
      </c>
      <c r="F595" s="59" t="s">
        <v>95</v>
      </c>
      <c r="G595" s="59" t="s">
        <v>3346</v>
      </c>
      <c r="H595" s="55" t="s">
        <v>3347</v>
      </c>
      <c r="I595" s="59" t="s">
        <v>51</v>
      </c>
      <c r="J595" s="59">
        <v>1978</v>
      </c>
      <c r="K595" s="60">
        <v>0</v>
      </c>
      <c r="L595" s="60">
        <v>800</v>
      </c>
      <c r="M595" s="60">
        <v>0</v>
      </c>
      <c r="N595" s="60">
        <f t="shared" si="13"/>
        <v>800</v>
      </c>
      <c r="O595" s="57">
        <v>121232</v>
      </c>
      <c r="P595" s="60" t="s">
        <v>68</v>
      </c>
      <c r="Q595" s="59" t="s">
        <v>3348</v>
      </c>
      <c r="R595" s="59" t="s">
        <v>173</v>
      </c>
      <c r="S595" s="88" t="s">
        <v>3349</v>
      </c>
      <c r="T595" s="22"/>
      <c r="U595" s="22" t="s">
        <v>3350</v>
      </c>
      <c r="V595" s="59" t="s">
        <v>3351</v>
      </c>
    </row>
    <row r="596" spans="2:22" ht="15" customHeight="1" x14ac:dyDescent="0.3">
      <c r="B596" s="22">
        <v>589</v>
      </c>
      <c r="C596" s="22" t="s">
        <v>13</v>
      </c>
      <c r="D596" s="22" t="s">
        <v>3344</v>
      </c>
      <c r="E596" s="55" t="s">
        <v>3352</v>
      </c>
      <c r="F596" s="55" t="s">
        <v>390</v>
      </c>
      <c r="G596" s="55" t="s">
        <v>3353</v>
      </c>
      <c r="H596" s="55" t="s">
        <v>3354</v>
      </c>
      <c r="I596" s="55" t="s">
        <v>51</v>
      </c>
      <c r="J596" s="55">
        <v>2012</v>
      </c>
      <c r="K596" s="60">
        <v>0</v>
      </c>
      <c r="L596" s="57">
        <v>100</v>
      </c>
      <c r="M596" s="57">
        <v>0</v>
      </c>
      <c r="N596" s="60">
        <f t="shared" si="13"/>
        <v>100</v>
      </c>
      <c r="O596" s="60">
        <v>0</v>
      </c>
      <c r="P596" s="60" t="s">
        <v>68</v>
      </c>
      <c r="Q596" s="55" t="s">
        <v>2960</v>
      </c>
      <c r="R596" s="55"/>
      <c r="S596" s="143"/>
      <c r="T596" s="8"/>
      <c r="U596" s="8" t="s">
        <v>3355</v>
      </c>
      <c r="V596" s="55" t="s">
        <v>3356</v>
      </c>
    </row>
    <row r="597" spans="2:22" ht="15" customHeight="1" x14ac:dyDescent="0.3">
      <c r="B597" s="22">
        <v>590</v>
      </c>
      <c r="C597" s="22" t="s">
        <v>13</v>
      </c>
      <c r="D597" s="22" t="s">
        <v>3344</v>
      </c>
      <c r="E597" s="55" t="s">
        <v>3357</v>
      </c>
      <c r="F597" s="55" t="s">
        <v>55</v>
      </c>
      <c r="G597" s="55" t="s">
        <v>3358</v>
      </c>
      <c r="H597" s="55" t="s">
        <v>3359</v>
      </c>
      <c r="I597" s="55" t="s">
        <v>51</v>
      </c>
      <c r="J597" s="55">
        <v>2012</v>
      </c>
      <c r="K597" s="60">
        <v>0</v>
      </c>
      <c r="L597" s="57">
        <v>100</v>
      </c>
      <c r="M597" s="57">
        <v>0</v>
      </c>
      <c r="N597" s="60">
        <f t="shared" si="13"/>
        <v>100</v>
      </c>
      <c r="O597" s="57">
        <v>3000</v>
      </c>
      <c r="P597" s="60" t="s">
        <v>68</v>
      </c>
      <c r="Q597" s="55" t="s">
        <v>3360</v>
      </c>
      <c r="R597" s="55" t="s">
        <v>173</v>
      </c>
      <c r="S597" s="84"/>
      <c r="T597" s="8"/>
      <c r="U597" s="8" t="s">
        <v>3361</v>
      </c>
      <c r="V597" s="55" t="s">
        <v>3362</v>
      </c>
    </row>
    <row r="598" spans="2:22" ht="15" customHeight="1" x14ac:dyDescent="0.3">
      <c r="B598" s="22">
        <v>591</v>
      </c>
      <c r="C598" s="22" t="s">
        <v>13</v>
      </c>
      <c r="D598" s="22" t="s">
        <v>3363</v>
      </c>
      <c r="E598" s="59" t="s">
        <v>3364</v>
      </c>
      <c r="F598" s="59" t="s">
        <v>95</v>
      </c>
      <c r="G598" s="59" t="s">
        <v>3365</v>
      </c>
      <c r="H598" s="59" t="s">
        <v>3366</v>
      </c>
      <c r="I598" s="59" t="s">
        <v>67</v>
      </c>
      <c r="J598" s="59">
        <v>2008</v>
      </c>
      <c r="K598" s="60">
        <v>0</v>
      </c>
      <c r="L598" s="60">
        <v>90</v>
      </c>
      <c r="M598" s="60">
        <v>0</v>
      </c>
      <c r="N598" s="60">
        <f t="shared" si="13"/>
        <v>90</v>
      </c>
      <c r="O598" s="60">
        <v>36849</v>
      </c>
      <c r="P598" s="60" t="s">
        <v>68</v>
      </c>
      <c r="Q598" s="59" t="s">
        <v>3367</v>
      </c>
      <c r="R598" s="59" t="s">
        <v>888</v>
      </c>
      <c r="S598" s="88" t="s">
        <v>3368</v>
      </c>
      <c r="T598" s="22"/>
      <c r="U598" s="22" t="s">
        <v>3369</v>
      </c>
      <c r="V598" s="59" t="s">
        <v>3370</v>
      </c>
    </row>
    <row r="599" spans="2:22" ht="15" customHeight="1" x14ac:dyDescent="0.3">
      <c r="B599" s="22">
        <v>592</v>
      </c>
      <c r="C599" s="22" t="s">
        <v>13</v>
      </c>
      <c r="D599" s="22" t="s">
        <v>3363</v>
      </c>
      <c r="E599" s="59" t="s">
        <v>3371</v>
      </c>
      <c r="F599" s="59" t="s">
        <v>95</v>
      </c>
      <c r="G599" s="59" t="s">
        <v>3372</v>
      </c>
      <c r="H599" s="59" t="s">
        <v>3373</v>
      </c>
      <c r="I599" s="59" t="s">
        <v>67</v>
      </c>
      <c r="J599" s="59">
        <v>2012</v>
      </c>
      <c r="K599" s="60">
        <v>0</v>
      </c>
      <c r="L599" s="60">
        <v>70</v>
      </c>
      <c r="M599" s="60">
        <v>0</v>
      </c>
      <c r="N599" s="60">
        <f t="shared" si="13"/>
        <v>70</v>
      </c>
      <c r="O599" s="60">
        <v>22556</v>
      </c>
      <c r="P599" s="60" t="s">
        <v>68</v>
      </c>
      <c r="Q599" s="59" t="s">
        <v>3374</v>
      </c>
      <c r="R599" s="59" t="s">
        <v>888</v>
      </c>
      <c r="S599" s="88" t="s">
        <v>3368</v>
      </c>
      <c r="T599" s="22"/>
      <c r="U599" s="22" t="s">
        <v>3375</v>
      </c>
      <c r="V599" s="59" t="s">
        <v>3376</v>
      </c>
    </row>
    <row r="600" spans="2:22" x14ac:dyDescent="0.3">
      <c r="B600" s="22">
        <v>593</v>
      </c>
      <c r="C600" s="148" t="s">
        <v>3379</v>
      </c>
      <c r="D600" s="148" t="s">
        <v>3380</v>
      </c>
      <c r="E600" s="148" t="s">
        <v>3381</v>
      </c>
      <c r="F600" s="148" t="s">
        <v>3382</v>
      </c>
      <c r="G600" s="148" t="s">
        <v>3383</v>
      </c>
      <c r="H600" s="148" t="s">
        <v>420</v>
      </c>
      <c r="I600" s="148" t="s">
        <v>67</v>
      </c>
      <c r="J600" s="148" t="s">
        <v>3384</v>
      </c>
      <c r="K600" s="148">
        <v>0</v>
      </c>
      <c r="L600" s="148">
        <v>210</v>
      </c>
      <c r="M600" s="148">
        <v>0</v>
      </c>
      <c r="N600" s="148">
        <v>210</v>
      </c>
      <c r="O600" s="148" t="s">
        <v>3385</v>
      </c>
      <c r="P600" s="148">
        <v>0</v>
      </c>
      <c r="Q600" s="148" t="s">
        <v>3386</v>
      </c>
      <c r="R600" s="148" t="s">
        <v>247</v>
      </c>
      <c r="S600" s="148" t="s">
        <v>3387</v>
      </c>
      <c r="T600" s="148" t="s">
        <v>296</v>
      </c>
      <c r="U600" s="148" t="s">
        <v>3388</v>
      </c>
      <c r="V600" s="148" t="s">
        <v>3389</v>
      </c>
    </row>
    <row r="601" spans="2:22" x14ac:dyDescent="0.3">
      <c r="B601" s="22">
        <v>594</v>
      </c>
      <c r="C601" s="148" t="s">
        <v>3379</v>
      </c>
      <c r="D601" s="148" t="s">
        <v>3380</v>
      </c>
      <c r="E601" s="148" t="s">
        <v>3390</v>
      </c>
      <c r="F601" s="148" t="s">
        <v>461</v>
      </c>
      <c r="G601" s="148" t="s">
        <v>334</v>
      </c>
      <c r="H601" s="148" t="s">
        <v>3391</v>
      </c>
      <c r="I601" s="148" t="s">
        <v>292</v>
      </c>
      <c r="J601" s="148" t="s">
        <v>3392</v>
      </c>
      <c r="K601" s="148">
        <v>0</v>
      </c>
      <c r="L601" s="148">
        <v>76.5</v>
      </c>
      <c r="M601" s="148">
        <v>19.5</v>
      </c>
      <c r="N601" s="148">
        <v>96</v>
      </c>
      <c r="O601" s="148" t="s">
        <v>3393</v>
      </c>
      <c r="P601" s="148">
        <v>0</v>
      </c>
      <c r="Q601" s="148" t="s">
        <v>3394</v>
      </c>
      <c r="R601" s="148" t="s">
        <v>3395</v>
      </c>
      <c r="S601" s="148" t="s">
        <v>3396</v>
      </c>
      <c r="T601" s="148" t="s">
        <v>296</v>
      </c>
      <c r="U601" s="148" t="s">
        <v>3397</v>
      </c>
      <c r="V601" s="148" t="s">
        <v>3398</v>
      </c>
    </row>
    <row r="602" spans="2:22" x14ac:dyDescent="0.3">
      <c r="B602" s="22">
        <v>595</v>
      </c>
      <c r="C602" s="148" t="s">
        <v>3379</v>
      </c>
      <c r="D602" s="148" t="s">
        <v>3380</v>
      </c>
      <c r="E602" s="148" t="s">
        <v>3399</v>
      </c>
      <c r="F602" s="148" t="s">
        <v>429</v>
      </c>
      <c r="G602" s="148" t="s">
        <v>3400</v>
      </c>
      <c r="H602" s="148" t="s">
        <v>3401</v>
      </c>
      <c r="I602" s="148" t="s">
        <v>235</v>
      </c>
      <c r="J602" s="148" t="s">
        <v>3402</v>
      </c>
      <c r="K602" s="148">
        <v>0</v>
      </c>
      <c r="L602" s="148">
        <v>50</v>
      </c>
      <c r="M602" s="148">
        <v>22</v>
      </c>
      <c r="N602" s="148">
        <v>72</v>
      </c>
      <c r="O602" s="148" t="s">
        <v>3403</v>
      </c>
      <c r="P602" s="148" t="s">
        <v>3404</v>
      </c>
      <c r="Q602" s="148" t="s">
        <v>3405</v>
      </c>
      <c r="R602" s="148" t="s">
        <v>533</v>
      </c>
      <c r="S602" s="148" t="s">
        <v>3406</v>
      </c>
      <c r="T602" s="148" t="s">
        <v>296</v>
      </c>
      <c r="U602" s="148" t="s">
        <v>3407</v>
      </c>
      <c r="V602" s="148" t="s">
        <v>3408</v>
      </c>
    </row>
    <row r="603" spans="2:22" x14ac:dyDescent="0.3">
      <c r="B603" s="22">
        <v>596</v>
      </c>
      <c r="C603" s="148" t="s">
        <v>3379</v>
      </c>
      <c r="D603" s="148" t="s">
        <v>3380</v>
      </c>
      <c r="E603" s="148" t="s">
        <v>3409</v>
      </c>
      <c r="F603" s="148" t="s">
        <v>461</v>
      </c>
      <c r="G603" s="148" t="s">
        <v>3410</v>
      </c>
      <c r="H603" s="148" t="s">
        <v>420</v>
      </c>
      <c r="I603" s="148" t="s">
        <v>235</v>
      </c>
      <c r="J603" s="148" t="s">
        <v>3411</v>
      </c>
      <c r="K603" s="148">
        <v>0</v>
      </c>
      <c r="L603" s="148">
        <v>44</v>
      </c>
      <c r="M603" s="148">
        <v>19</v>
      </c>
      <c r="N603" s="148">
        <v>63</v>
      </c>
      <c r="O603" s="148" t="s">
        <v>3412</v>
      </c>
      <c r="P603" s="148" t="s">
        <v>296</v>
      </c>
      <c r="Q603" s="148" t="s">
        <v>3413</v>
      </c>
      <c r="R603" s="148" t="s">
        <v>542</v>
      </c>
      <c r="S603" s="148" t="s">
        <v>3414</v>
      </c>
      <c r="T603" s="148" t="s">
        <v>296</v>
      </c>
      <c r="U603" s="148" t="s">
        <v>3415</v>
      </c>
      <c r="V603" s="148" t="s">
        <v>3416</v>
      </c>
    </row>
    <row r="604" spans="2:22" x14ac:dyDescent="0.3">
      <c r="B604" s="22">
        <v>597</v>
      </c>
      <c r="C604" s="148" t="s">
        <v>11</v>
      </c>
      <c r="D604" s="148" t="s">
        <v>3417</v>
      </c>
      <c r="E604" s="148" t="s">
        <v>3418</v>
      </c>
      <c r="F604" s="148" t="s">
        <v>627</v>
      </c>
      <c r="G604" s="148" t="s">
        <v>3419</v>
      </c>
      <c r="H604" s="148" t="s">
        <v>3420</v>
      </c>
      <c r="I604" s="148" t="s">
        <v>292</v>
      </c>
      <c r="J604" s="148">
        <v>2018</v>
      </c>
      <c r="K604" s="148">
        <v>0</v>
      </c>
      <c r="L604" s="148">
        <v>230</v>
      </c>
      <c r="M604" s="148">
        <v>0</v>
      </c>
      <c r="N604" s="148">
        <v>230</v>
      </c>
      <c r="O604" s="148" t="s">
        <v>3421</v>
      </c>
      <c r="P604" s="148" t="s">
        <v>296</v>
      </c>
      <c r="Q604" s="148" t="s">
        <v>3422</v>
      </c>
      <c r="R604" s="148" t="s">
        <v>542</v>
      </c>
      <c r="S604" s="148" t="s">
        <v>3423</v>
      </c>
      <c r="T604" s="148" t="s">
        <v>296</v>
      </c>
      <c r="U604" s="148" t="s">
        <v>3424</v>
      </c>
      <c r="V604" s="148" t="s">
        <v>3425</v>
      </c>
    </row>
    <row r="605" spans="2:22" x14ac:dyDescent="0.3">
      <c r="B605" s="22">
        <v>598</v>
      </c>
      <c r="C605" s="148" t="s">
        <v>11</v>
      </c>
      <c r="D605" s="148" t="s">
        <v>3417</v>
      </c>
      <c r="E605" s="148" t="s">
        <v>3426</v>
      </c>
      <c r="F605" s="148" t="s">
        <v>259</v>
      </c>
      <c r="G605" s="148" t="s">
        <v>3427</v>
      </c>
      <c r="H605" s="148" t="s">
        <v>3428</v>
      </c>
      <c r="I605" s="148" t="s">
        <v>292</v>
      </c>
      <c r="J605" s="148">
        <v>2008</v>
      </c>
      <c r="K605" s="148">
        <v>0</v>
      </c>
      <c r="L605" s="148">
        <v>1100</v>
      </c>
      <c r="M605" s="148">
        <v>0</v>
      </c>
      <c r="N605" s="148">
        <v>1100</v>
      </c>
      <c r="O605" s="148" t="s">
        <v>3429</v>
      </c>
      <c r="P605" s="148" t="s">
        <v>296</v>
      </c>
      <c r="Q605" s="148" t="s">
        <v>3430</v>
      </c>
      <c r="R605" s="148" t="s">
        <v>542</v>
      </c>
      <c r="S605" s="148" t="s">
        <v>3423</v>
      </c>
      <c r="T605" s="148" t="s">
        <v>296</v>
      </c>
      <c r="U605" s="148" t="s">
        <v>3431</v>
      </c>
      <c r="V605" s="148" t="s">
        <v>3432</v>
      </c>
    </row>
    <row r="606" spans="2:22" x14ac:dyDescent="0.3">
      <c r="B606" s="22">
        <v>599</v>
      </c>
      <c r="C606" s="148" t="s">
        <v>11</v>
      </c>
      <c r="D606" s="148" t="s">
        <v>3417</v>
      </c>
      <c r="E606" s="148" t="s">
        <v>3433</v>
      </c>
      <c r="F606" s="148" t="s">
        <v>429</v>
      </c>
      <c r="G606" s="148" t="s">
        <v>3434</v>
      </c>
      <c r="H606" s="148" t="s">
        <v>3435</v>
      </c>
      <c r="I606" s="148" t="s">
        <v>235</v>
      </c>
      <c r="J606" s="148">
        <v>2004</v>
      </c>
      <c r="K606" s="148">
        <v>0</v>
      </c>
      <c r="L606" s="148">
        <v>20</v>
      </c>
      <c r="M606" s="148">
        <v>0</v>
      </c>
      <c r="N606" s="148">
        <v>20</v>
      </c>
      <c r="O606" s="148" t="s">
        <v>3436</v>
      </c>
      <c r="P606" s="148" t="s">
        <v>296</v>
      </c>
      <c r="Q606" s="148" t="s">
        <v>3437</v>
      </c>
      <c r="R606" s="148" t="s">
        <v>717</v>
      </c>
      <c r="S606" s="148" t="s">
        <v>3423</v>
      </c>
      <c r="T606" s="148" t="s">
        <v>296</v>
      </c>
      <c r="U606" s="148" t="s">
        <v>3438</v>
      </c>
      <c r="V606" s="148" t="s">
        <v>3439</v>
      </c>
    </row>
    <row r="607" spans="2:22" x14ac:dyDescent="0.3">
      <c r="B607" s="22">
        <v>600</v>
      </c>
      <c r="C607" s="148" t="s">
        <v>11</v>
      </c>
      <c r="D607" s="148" t="s">
        <v>3417</v>
      </c>
      <c r="E607" s="148" t="s">
        <v>3440</v>
      </c>
      <c r="F607" s="148" t="s">
        <v>259</v>
      </c>
      <c r="G607" s="148" t="s">
        <v>3434</v>
      </c>
      <c r="H607" s="148" t="s">
        <v>3441</v>
      </c>
      <c r="I607" s="148" t="s">
        <v>235</v>
      </c>
      <c r="J607" s="148">
        <v>1998</v>
      </c>
      <c r="K607" s="148">
        <v>0</v>
      </c>
      <c r="L607" s="148">
        <v>30</v>
      </c>
      <c r="M607" s="148">
        <v>0</v>
      </c>
      <c r="N607" s="148">
        <v>30</v>
      </c>
      <c r="O607" s="148" t="s">
        <v>3442</v>
      </c>
      <c r="P607" s="148" t="s">
        <v>296</v>
      </c>
      <c r="Q607" s="148" t="s">
        <v>3443</v>
      </c>
      <c r="R607" s="148" t="s">
        <v>717</v>
      </c>
      <c r="S607" s="148" t="s">
        <v>3423</v>
      </c>
      <c r="T607" s="148" t="s">
        <v>296</v>
      </c>
      <c r="U607" s="148" t="s">
        <v>3431</v>
      </c>
      <c r="V607" s="148" t="s">
        <v>3432</v>
      </c>
    </row>
    <row r="608" spans="2:22" x14ac:dyDescent="0.3">
      <c r="B608" s="22">
        <v>601</v>
      </c>
      <c r="C608" s="148" t="s">
        <v>11</v>
      </c>
      <c r="D608" s="148" t="s">
        <v>3417</v>
      </c>
      <c r="E608" s="148" t="s">
        <v>3444</v>
      </c>
      <c r="F608" s="148" t="s">
        <v>243</v>
      </c>
      <c r="G608" s="148" t="s">
        <v>3434</v>
      </c>
      <c r="H608" s="148" t="s">
        <v>3445</v>
      </c>
      <c r="I608" s="148" t="s">
        <v>235</v>
      </c>
      <c r="J608" s="148">
        <v>2004</v>
      </c>
      <c r="K608" s="148">
        <v>0</v>
      </c>
      <c r="L608" s="148">
        <v>20</v>
      </c>
      <c r="M608" s="148">
        <v>0</v>
      </c>
      <c r="N608" s="148">
        <v>20</v>
      </c>
      <c r="O608" s="148">
        <v>2000</v>
      </c>
      <c r="P608" s="148" t="s">
        <v>296</v>
      </c>
      <c r="Q608" s="148" t="s">
        <v>3446</v>
      </c>
      <c r="R608" s="148" t="s">
        <v>717</v>
      </c>
      <c r="S608" s="148" t="s">
        <v>3423</v>
      </c>
      <c r="T608" s="148" t="s">
        <v>296</v>
      </c>
      <c r="U608" s="148" t="s">
        <v>3424</v>
      </c>
      <c r="V608" s="148" t="s">
        <v>3425</v>
      </c>
    </row>
    <row r="609" spans="2:22" x14ac:dyDescent="0.3">
      <c r="B609" s="22">
        <v>602</v>
      </c>
      <c r="C609" s="148" t="s">
        <v>11</v>
      </c>
      <c r="D609" s="148" t="s">
        <v>3417</v>
      </c>
      <c r="E609" s="148" t="s">
        <v>3447</v>
      </c>
      <c r="F609" s="148" t="s">
        <v>429</v>
      </c>
      <c r="G609" s="148" t="s">
        <v>3434</v>
      </c>
      <c r="H609" s="148" t="s">
        <v>3448</v>
      </c>
      <c r="I609" s="148" t="s">
        <v>235</v>
      </c>
      <c r="J609" s="148">
        <v>2019</v>
      </c>
      <c r="K609" s="148">
        <v>0</v>
      </c>
      <c r="L609" s="148">
        <v>20</v>
      </c>
      <c r="M609" s="148">
        <v>0</v>
      </c>
      <c r="N609" s="148">
        <v>20</v>
      </c>
      <c r="O609" s="148">
        <v>1000</v>
      </c>
      <c r="P609" s="148" t="s">
        <v>296</v>
      </c>
      <c r="Q609" s="148" t="s">
        <v>3449</v>
      </c>
      <c r="R609" s="148" t="s">
        <v>717</v>
      </c>
      <c r="S609" s="148" t="s">
        <v>3423</v>
      </c>
      <c r="T609" s="148" t="s">
        <v>296</v>
      </c>
      <c r="U609" s="148" t="s">
        <v>3450</v>
      </c>
      <c r="V609" s="148" t="s">
        <v>3451</v>
      </c>
    </row>
    <row r="610" spans="2:22" x14ac:dyDescent="0.3">
      <c r="B610" s="22">
        <v>603</v>
      </c>
      <c r="C610" s="148" t="s">
        <v>11</v>
      </c>
      <c r="D610" s="148" t="s">
        <v>3417</v>
      </c>
      <c r="E610" s="148" t="s">
        <v>3452</v>
      </c>
      <c r="F610" s="148" t="s">
        <v>429</v>
      </c>
      <c r="G610" s="148" t="s">
        <v>3453</v>
      </c>
      <c r="H610" s="148" t="s">
        <v>3454</v>
      </c>
      <c r="I610" s="148" t="s">
        <v>235</v>
      </c>
      <c r="J610" s="148">
        <v>2009</v>
      </c>
      <c r="K610" s="148">
        <v>0</v>
      </c>
      <c r="L610" s="148">
        <v>20</v>
      </c>
      <c r="M610" s="148">
        <v>0</v>
      </c>
      <c r="N610" s="148">
        <v>20</v>
      </c>
      <c r="O610" s="148" t="s">
        <v>3436</v>
      </c>
      <c r="P610" s="148" t="s">
        <v>296</v>
      </c>
      <c r="Q610" s="148" t="s">
        <v>3455</v>
      </c>
      <c r="R610" s="148" t="s">
        <v>717</v>
      </c>
      <c r="S610" s="148" t="s">
        <v>3423</v>
      </c>
      <c r="T610" s="148" t="s">
        <v>296</v>
      </c>
      <c r="U610" s="148" t="s">
        <v>3424</v>
      </c>
      <c r="V610" s="148" t="s">
        <v>3425</v>
      </c>
    </row>
    <row r="611" spans="2:22" x14ac:dyDescent="0.3">
      <c r="B611" s="22">
        <v>604</v>
      </c>
      <c r="C611" s="148" t="s">
        <v>11</v>
      </c>
      <c r="D611" s="148" t="s">
        <v>3417</v>
      </c>
      <c r="E611" s="148" t="s">
        <v>3456</v>
      </c>
      <c r="F611" s="148" t="s">
        <v>243</v>
      </c>
      <c r="G611" s="148" t="s">
        <v>3457</v>
      </c>
      <c r="H611" s="148" t="s">
        <v>3458</v>
      </c>
      <c r="I611" s="148" t="s">
        <v>235</v>
      </c>
      <c r="J611" s="148">
        <v>2019</v>
      </c>
      <c r="K611" s="148">
        <v>0</v>
      </c>
      <c r="L611" s="148">
        <v>250</v>
      </c>
      <c r="M611" s="148">
        <v>0</v>
      </c>
      <c r="N611" s="148">
        <v>250</v>
      </c>
      <c r="O611" s="148">
        <v>5119</v>
      </c>
      <c r="P611" s="148" t="s">
        <v>296</v>
      </c>
      <c r="Q611" s="148" t="s">
        <v>3459</v>
      </c>
      <c r="R611" s="148" t="s">
        <v>542</v>
      </c>
      <c r="S611" s="148" t="s">
        <v>3423</v>
      </c>
      <c r="T611" s="148" t="s">
        <v>296</v>
      </c>
      <c r="U611" s="148" t="s">
        <v>3424</v>
      </c>
      <c r="V611" s="148" t="s">
        <v>3425</v>
      </c>
    </row>
    <row r="612" spans="2:22" x14ac:dyDescent="0.3">
      <c r="B612" s="22">
        <v>605</v>
      </c>
      <c r="C612" s="148" t="s">
        <v>11</v>
      </c>
      <c r="D612" s="148" t="s">
        <v>3417</v>
      </c>
      <c r="E612" s="148" t="s">
        <v>3460</v>
      </c>
      <c r="F612" s="148" t="s">
        <v>3461</v>
      </c>
      <c r="G612" s="148" t="s">
        <v>3462</v>
      </c>
      <c r="H612" s="148" t="s">
        <v>3463</v>
      </c>
      <c r="I612" s="148" t="s">
        <v>292</v>
      </c>
      <c r="J612" s="148">
        <v>1955</v>
      </c>
      <c r="K612" s="148">
        <v>0</v>
      </c>
      <c r="L612" s="148">
        <v>3000</v>
      </c>
      <c r="M612" s="148">
        <v>0</v>
      </c>
      <c r="N612" s="148">
        <v>30000</v>
      </c>
      <c r="O612" s="148">
        <v>119323</v>
      </c>
      <c r="P612" s="148" t="s">
        <v>296</v>
      </c>
      <c r="Q612" s="148" t="s">
        <v>3464</v>
      </c>
      <c r="R612" s="148" t="s">
        <v>247</v>
      </c>
      <c r="S612" s="148" t="s">
        <v>3423</v>
      </c>
      <c r="T612" s="148" t="s">
        <v>296</v>
      </c>
      <c r="U612" s="148" t="s">
        <v>3450</v>
      </c>
      <c r="V612" s="148" t="s">
        <v>3451</v>
      </c>
    </row>
    <row r="613" spans="2:22" x14ac:dyDescent="0.3">
      <c r="B613" s="22">
        <v>606</v>
      </c>
      <c r="C613" s="148" t="s">
        <v>11</v>
      </c>
      <c r="D613" s="148" t="s">
        <v>3417</v>
      </c>
      <c r="E613" s="148" t="s">
        <v>3465</v>
      </c>
      <c r="F613" s="148" t="s">
        <v>429</v>
      </c>
      <c r="G613" s="148" t="s">
        <v>3466</v>
      </c>
      <c r="H613" s="148" t="s">
        <v>3467</v>
      </c>
      <c r="I613" s="148" t="s">
        <v>235</v>
      </c>
      <c r="J613" s="148">
        <v>2019</v>
      </c>
      <c r="K613" s="148">
        <v>0</v>
      </c>
      <c r="L613" s="148">
        <v>20</v>
      </c>
      <c r="M613" s="148">
        <v>0</v>
      </c>
      <c r="N613" s="148">
        <v>20</v>
      </c>
      <c r="O613" s="148">
        <v>600</v>
      </c>
      <c r="P613" s="148" t="s">
        <v>296</v>
      </c>
      <c r="Q613" s="148" t="s">
        <v>3468</v>
      </c>
      <c r="R613" s="148" t="s">
        <v>717</v>
      </c>
      <c r="S613" s="148" t="s">
        <v>3423</v>
      </c>
      <c r="T613" s="148" t="s">
        <v>296</v>
      </c>
      <c r="U613" s="148" t="s">
        <v>3438</v>
      </c>
      <c r="V613" s="148" t="s">
        <v>3439</v>
      </c>
    </row>
    <row r="614" spans="2:22" x14ac:dyDescent="0.3">
      <c r="B614" s="22">
        <v>607</v>
      </c>
      <c r="C614" s="148" t="s">
        <v>3379</v>
      </c>
      <c r="D614" s="148" t="s">
        <v>3469</v>
      </c>
      <c r="E614" s="148" t="s">
        <v>3470</v>
      </c>
      <c r="F614" s="148" t="s">
        <v>461</v>
      </c>
      <c r="G614" s="148" t="s">
        <v>3471</v>
      </c>
      <c r="H614" s="148" t="s">
        <v>3472</v>
      </c>
      <c r="I614" s="148" t="s">
        <v>235</v>
      </c>
      <c r="J614" s="148">
        <v>2000</v>
      </c>
      <c r="K614" s="148">
        <v>0</v>
      </c>
      <c r="L614" s="148">
        <v>20</v>
      </c>
      <c r="M614" s="148">
        <v>21.5</v>
      </c>
      <c r="N614" s="148">
        <v>41.5</v>
      </c>
      <c r="O614" s="148" t="s">
        <v>1486</v>
      </c>
      <c r="P614" s="148" t="s">
        <v>1486</v>
      </c>
      <c r="Q614" s="148" t="s">
        <v>3473</v>
      </c>
      <c r="R614" s="148" t="s">
        <v>296</v>
      </c>
      <c r="S614" s="148" t="s">
        <v>296</v>
      </c>
      <c r="T614" s="148" t="s">
        <v>296</v>
      </c>
      <c r="U614" s="148" t="s">
        <v>3474</v>
      </c>
      <c r="V614" s="148" t="s">
        <v>3475</v>
      </c>
    </row>
    <row r="615" spans="2:22" x14ac:dyDescent="0.3">
      <c r="B615" s="22">
        <v>608</v>
      </c>
      <c r="C615" s="148" t="s">
        <v>3379</v>
      </c>
      <c r="D615" s="148" t="s">
        <v>3469</v>
      </c>
      <c r="E615" s="148" t="s">
        <v>3476</v>
      </c>
      <c r="F615" s="148" t="s">
        <v>429</v>
      </c>
      <c r="G615" s="148" t="s">
        <v>3477</v>
      </c>
      <c r="H615" s="148" t="s">
        <v>3478</v>
      </c>
      <c r="I615" s="148" t="s">
        <v>235</v>
      </c>
      <c r="J615" s="148">
        <v>2011</v>
      </c>
      <c r="K615" s="148">
        <v>0</v>
      </c>
      <c r="L615" s="148">
        <v>3</v>
      </c>
      <c r="M615" s="148">
        <v>0</v>
      </c>
      <c r="N615" s="148">
        <v>3</v>
      </c>
      <c r="O615" s="148" t="s">
        <v>1486</v>
      </c>
      <c r="P615" s="148" t="s">
        <v>1486</v>
      </c>
      <c r="Q615" s="148" t="s">
        <v>3479</v>
      </c>
      <c r="R615" s="148" t="s">
        <v>3480</v>
      </c>
      <c r="S615" s="148" t="s">
        <v>3481</v>
      </c>
      <c r="T615" s="148" t="s">
        <v>296</v>
      </c>
      <c r="U615" s="148" t="s">
        <v>3482</v>
      </c>
      <c r="V615" s="148" t="s">
        <v>3483</v>
      </c>
    </row>
    <row r="616" spans="2:22" x14ac:dyDescent="0.3">
      <c r="B616" s="22">
        <v>609</v>
      </c>
      <c r="C616" s="148" t="s">
        <v>3379</v>
      </c>
      <c r="D616" s="148" t="s">
        <v>3469</v>
      </c>
      <c r="E616" s="148" t="s">
        <v>3484</v>
      </c>
      <c r="F616" s="148" t="s">
        <v>271</v>
      </c>
      <c r="G616" s="148" t="s">
        <v>3434</v>
      </c>
      <c r="H616" s="148" t="s">
        <v>3485</v>
      </c>
      <c r="I616" s="148" t="s">
        <v>235</v>
      </c>
      <c r="J616" s="148">
        <v>2005</v>
      </c>
      <c r="K616" s="148">
        <v>0</v>
      </c>
      <c r="L616" s="148">
        <v>61</v>
      </c>
      <c r="M616" s="148">
        <v>10</v>
      </c>
      <c r="N616" s="148">
        <v>71</v>
      </c>
      <c r="O616" s="148" t="s">
        <v>1486</v>
      </c>
      <c r="P616" s="148" t="s">
        <v>1486</v>
      </c>
      <c r="Q616" s="148" t="s">
        <v>3486</v>
      </c>
      <c r="R616" s="148" t="s">
        <v>296</v>
      </c>
      <c r="S616" s="148" t="s">
        <v>296</v>
      </c>
      <c r="T616" s="148" t="s">
        <v>296</v>
      </c>
      <c r="U616" s="148" t="s">
        <v>3487</v>
      </c>
      <c r="V616" s="148" t="s">
        <v>3488</v>
      </c>
    </row>
    <row r="617" spans="2:22" x14ac:dyDescent="0.3">
      <c r="B617" s="22">
        <v>610</v>
      </c>
      <c r="C617" s="148" t="s">
        <v>3379</v>
      </c>
      <c r="D617" s="148" t="s">
        <v>3469</v>
      </c>
      <c r="E617" s="148" t="s">
        <v>3489</v>
      </c>
      <c r="F617" s="148" t="s">
        <v>461</v>
      </c>
      <c r="G617" s="148" t="s">
        <v>3490</v>
      </c>
      <c r="H617" s="148" t="s">
        <v>3491</v>
      </c>
      <c r="I617" s="148" t="s">
        <v>235</v>
      </c>
      <c r="J617" s="148">
        <v>2018</v>
      </c>
      <c r="K617" s="148">
        <v>0</v>
      </c>
      <c r="L617" s="148">
        <v>0</v>
      </c>
      <c r="M617" s="148">
        <v>50</v>
      </c>
      <c r="N617" s="148">
        <v>50</v>
      </c>
      <c r="O617" s="148">
        <v>1000</v>
      </c>
      <c r="P617" s="148">
        <v>0</v>
      </c>
      <c r="Q617" s="148" t="s">
        <v>3473</v>
      </c>
      <c r="R617" s="148" t="s">
        <v>296</v>
      </c>
      <c r="S617" s="148" t="s">
        <v>296</v>
      </c>
      <c r="T617" s="148" t="s">
        <v>296</v>
      </c>
      <c r="U617" s="148" t="s">
        <v>3492</v>
      </c>
      <c r="V617" s="148" t="s">
        <v>3493</v>
      </c>
    </row>
    <row r="618" spans="2:22" x14ac:dyDescent="0.3">
      <c r="B618" s="22">
        <v>611</v>
      </c>
      <c r="C618" s="148" t="s">
        <v>3379</v>
      </c>
      <c r="D618" s="148" t="s">
        <v>3469</v>
      </c>
      <c r="E618" s="148" t="s">
        <v>3494</v>
      </c>
      <c r="F618" s="148" t="s">
        <v>461</v>
      </c>
      <c r="G618" s="148" t="s">
        <v>3490</v>
      </c>
      <c r="H618" s="148" t="s">
        <v>3495</v>
      </c>
      <c r="I618" s="148" t="s">
        <v>235</v>
      </c>
      <c r="J618" s="148">
        <v>2010</v>
      </c>
      <c r="K618" s="148">
        <v>0</v>
      </c>
      <c r="L618" s="148">
        <v>50</v>
      </c>
      <c r="M618" s="148">
        <v>10</v>
      </c>
      <c r="N618" s="148">
        <v>60</v>
      </c>
      <c r="O618" s="148" t="s">
        <v>1486</v>
      </c>
      <c r="P618" s="148" t="s">
        <v>1486</v>
      </c>
      <c r="Q618" s="148" t="s">
        <v>3473</v>
      </c>
      <c r="R618" s="148" t="s">
        <v>296</v>
      </c>
      <c r="S618" s="148" t="s">
        <v>296</v>
      </c>
      <c r="T618" s="148" t="s">
        <v>296</v>
      </c>
      <c r="U618" s="148" t="s">
        <v>3474</v>
      </c>
      <c r="V618" s="148" t="s">
        <v>3475</v>
      </c>
    </row>
    <row r="619" spans="2:22" x14ac:dyDescent="0.3">
      <c r="B619" s="22">
        <v>612</v>
      </c>
      <c r="C619" s="148" t="s">
        <v>3379</v>
      </c>
      <c r="D619" s="148" t="s">
        <v>3469</v>
      </c>
      <c r="E619" s="148" t="s">
        <v>3496</v>
      </c>
      <c r="F619" s="148" t="s">
        <v>461</v>
      </c>
      <c r="G619" s="148" t="s">
        <v>3490</v>
      </c>
      <c r="H619" s="148" t="s">
        <v>3497</v>
      </c>
      <c r="I619" s="148" t="s">
        <v>235</v>
      </c>
      <c r="J619" s="148">
        <v>2018</v>
      </c>
      <c r="K619" s="148">
        <v>0</v>
      </c>
      <c r="L619" s="148">
        <v>10</v>
      </c>
      <c r="M619" s="148">
        <v>13</v>
      </c>
      <c r="N619" s="148">
        <v>23</v>
      </c>
      <c r="O619" s="148" t="s">
        <v>1486</v>
      </c>
      <c r="P619" s="148" t="s">
        <v>1486</v>
      </c>
      <c r="Q619" s="148" t="s">
        <v>3473</v>
      </c>
      <c r="R619" s="148" t="s">
        <v>296</v>
      </c>
      <c r="S619" s="148" t="s">
        <v>296</v>
      </c>
      <c r="T619" s="148" t="s">
        <v>296</v>
      </c>
      <c r="U619" s="148" t="s">
        <v>3474</v>
      </c>
      <c r="V619" s="148" t="s">
        <v>3475</v>
      </c>
    </row>
    <row r="620" spans="2:22" x14ac:dyDescent="0.3">
      <c r="B620" s="22">
        <v>613</v>
      </c>
      <c r="C620" s="148" t="s">
        <v>3379</v>
      </c>
      <c r="D620" s="148" t="s">
        <v>3469</v>
      </c>
      <c r="E620" s="148" t="s">
        <v>3498</v>
      </c>
      <c r="F620" s="148" t="s">
        <v>232</v>
      </c>
      <c r="G620" s="148" t="s">
        <v>3490</v>
      </c>
      <c r="H620" s="148" t="s">
        <v>3499</v>
      </c>
      <c r="I620" s="148" t="s">
        <v>235</v>
      </c>
      <c r="J620" s="148">
        <v>2022</v>
      </c>
      <c r="K620" s="148">
        <v>0</v>
      </c>
      <c r="L620" s="148">
        <v>150</v>
      </c>
      <c r="M620" s="148">
        <v>0</v>
      </c>
      <c r="N620" s="148">
        <v>150</v>
      </c>
      <c r="O620" s="148" t="s">
        <v>1486</v>
      </c>
      <c r="P620" s="148" t="s">
        <v>1486</v>
      </c>
      <c r="Q620" s="148" t="s">
        <v>3473</v>
      </c>
      <c r="R620" s="148" t="s">
        <v>296</v>
      </c>
      <c r="S620" s="148" t="s">
        <v>296</v>
      </c>
      <c r="T620" s="148" t="s">
        <v>296</v>
      </c>
      <c r="U620" s="148" t="s">
        <v>3500</v>
      </c>
      <c r="V620" s="148" t="s">
        <v>3501</v>
      </c>
    </row>
    <row r="621" spans="2:22" x14ac:dyDescent="0.3">
      <c r="B621" s="22">
        <v>614</v>
      </c>
      <c r="C621" s="148" t="s">
        <v>3379</v>
      </c>
      <c r="D621" s="148" t="s">
        <v>3469</v>
      </c>
      <c r="E621" s="148" t="s">
        <v>3502</v>
      </c>
      <c r="F621" s="148" t="s">
        <v>232</v>
      </c>
      <c r="G621" s="148" t="s">
        <v>3503</v>
      </c>
      <c r="H621" s="148" t="s">
        <v>3499</v>
      </c>
      <c r="I621" s="148" t="s">
        <v>235</v>
      </c>
      <c r="J621" s="148">
        <v>1998</v>
      </c>
      <c r="K621" s="148">
        <v>0</v>
      </c>
      <c r="L621" s="148">
        <v>4750</v>
      </c>
      <c r="M621" s="148">
        <v>1750</v>
      </c>
      <c r="N621" s="148">
        <v>6500</v>
      </c>
      <c r="O621" s="148">
        <v>3124</v>
      </c>
      <c r="P621" s="148" t="s">
        <v>3504</v>
      </c>
      <c r="Q621" s="148" t="s">
        <v>3505</v>
      </c>
      <c r="R621" s="148" t="s">
        <v>247</v>
      </c>
      <c r="S621" s="148" t="s">
        <v>3506</v>
      </c>
      <c r="T621" s="148" t="s">
        <v>296</v>
      </c>
      <c r="U621" s="148" t="s">
        <v>3500</v>
      </c>
      <c r="V621" s="148" t="s">
        <v>3501</v>
      </c>
    </row>
    <row r="622" spans="2:22" x14ac:dyDescent="0.3">
      <c r="B622" s="22">
        <v>615</v>
      </c>
      <c r="C622" s="148" t="s">
        <v>3379</v>
      </c>
      <c r="D622" s="148" t="s">
        <v>3469</v>
      </c>
      <c r="E622" s="148" t="s">
        <v>3507</v>
      </c>
      <c r="F622" s="148" t="s">
        <v>232</v>
      </c>
      <c r="G622" s="148" t="s">
        <v>3508</v>
      </c>
      <c r="H622" s="148" t="s">
        <v>3509</v>
      </c>
      <c r="I622" s="148" t="s">
        <v>235</v>
      </c>
      <c r="J622" s="148">
        <v>1998</v>
      </c>
      <c r="K622" s="148">
        <v>0</v>
      </c>
      <c r="L622" s="148">
        <v>270</v>
      </c>
      <c r="M622" s="148">
        <v>0</v>
      </c>
      <c r="N622" s="148">
        <v>270</v>
      </c>
      <c r="O622" s="148" t="s">
        <v>1486</v>
      </c>
      <c r="P622" s="148" t="s">
        <v>1486</v>
      </c>
      <c r="Q622" s="148" t="s">
        <v>3505</v>
      </c>
      <c r="R622" s="148" t="s">
        <v>247</v>
      </c>
      <c r="S622" s="148" t="s">
        <v>3506</v>
      </c>
      <c r="T622" s="148" t="s">
        <v>296</v>
      </c>
      <c r="U622" s="148" t="s">
        <v>3510</v>
      </c>
      <c r="V622" s="148" t="s">
        <v>3511</v>
      </c>
    </row>
    <row r="623" spans="2:22" x14ac:dyDescent="0.3">
      <c r="B623" s="22">
        <v>616</v>
      </c>
      <c r="C623" s="148" t="s">
        <v>3379</v>
      </c>
      <c r="D623" s="148" t="s">
        <v>3469</v>
      </c>
      <c r="E623" s="148" t="s">
        <v>3512</v>
      </c>
      <c r="F623" s="148" t="s">
        <v>522</v>
      </c>
      <c r="G623" s="148" t="s">
        <v>3513</v>
      </c>
      <c r="H623" s="148" t="s">
        <v>3514</v>
      </c>
      <c r="I623" s="148" t="s">
        <v>235</v>
      </c>
      <c r="J623" s="148">
        <v>2019</v>
      </c>
      <c r="K623" s="148">
        <v>4</v>
      </c>
      <c r="L623" s="148">
        <v>4</v>
      </c>
      <c r="M623" s="148">
        <v>2</v>
      </c>
      <c r="N623" s="148">
        <v>10</v>
      </c>
      <c r="O623" s="148" t="s">
        <v>1486</v>
      </c>
      <c r="P623" s="148" t="s">
        <v>1486</v>
      </c>
      <c r="Q623" s="148" t="s">
        <v>3515</v>
      </c>
      <c r="R623" s="148" t="s">
        <v>3480</v>
      </c>
      <c r="S623" s="148" t="s">
        <v>3516</v>
      </c>
      <c r="T623" s="148" t="s">
        <v>378</v>
      </c>
      <c r="U623" s="148" t="s">
        <v>3517</v>
      </c>
      <c r="V623" s="148" t="s">
        <v>3518</v>
      </c>
    </row>
    <row r="624" spans="2:22" x14ac:dyDescent="0.3">
      <c r="B624" s="22">
        <v>617</v>
      </c>
      <c r="C624" s="148" t="s">
        <v>3379</v>
      </c>
      <c r="D624" s="148" t="s">
        <v>3469</v>
      </c>
      <c r="E624" s="148" t="s">
        <v>3519</v>
      </c>
      <c r="F624" s="148" t="s">
        <v>243</v>
      </c>
      <c r="G624" s="148" t="s">
        <v>3520</v>
      </c>
      <c r="H624" s="148" t="s">
        <v>3521</v>
      </c>
      <c r="I624" s="148" t="s">
        <v>235</v>
      </c>
      <c r="J624" s="148">
        <v>1996</v>
      </c>
      <c r="K624" s="148">
        <v>0</v>
      </c>
      <c r="L624" s="148">
        <v>100</v>
      </c>
      <c r="M624" s="148">
        <v>0</v>
      </c>
      <c r="N624" s="148">
        <v>100</v>
      </c>
      <c r="O624" s="148" t="s">
        <v>255</v>
      </c>
      <c r="P624" s="148" t="s">
        <v>255</v>
      </c>
      <c r="Q624" s="148" t="s">
        <v>3522</v>
      </c>
      <c r="R624" s="148" t="s">
        <v>238</v>
      </c>
      <c r="S624" s="148" t="s">
        <v>3523</v>
      </c>
      <c r="T624" s="148" t="s">
        <v>296</v>
      </c>
      <c r="U624" s="148" t="s">
        <v>3524</v>
      </c>
      <c r="V624" s="148" t="s">
        <v>3525</v>
      </c>
    </row>
    <row r="625" spans="2:22" x14ac:dyDescent="0.3">
      <c r="B625" s="22">
        <v>618</v>
      </c>
      <c r="C625" s="148" t="s">
        <v>3379</v>
      </c>
      <c r="D625" s="148" t="s">
        <v>3469</v>
      </c>
      <c r="E625" s="148" t="s">
        <v>3526</v>
      </c>
      <c r="F625" s="148" t="s">
        <v>3527</v>
      </c>
      <c r="G625" s="148" t="s">
        <v>334</v>
      </c>
      <c r="H625" s="148" t="s">
        <v>3528</v>
      </c>
      <c r="I625" s="148" t="s">
        <v>235</v>
      </c>
      <c r="J625" s="148">
        <v>1988</v>
      </c>
      <c r="K625" s="148">
        <v>0</v>
      </c>
      <c r="L625" s="148">
        <v>500</v>
      </c>
      <c r="M625" s="148">
        <v>0</v>
      </c>
      <c r="N625" s="148">
        <v>500</v>
      </c>
      <c r="O625" s="148" t="s">
        <v>1486</v>
      </c>
      <c r="P625" s="148" t="s">
        <v>1486</v>
      </c>
      <c r="Q625" s="148" t="s">
        <v>3529</v>
      </c>
      <c r="R625" s="148" t="s">
        <v>357</v>
      </c>
      <c r="S625" s="148" t="s">
        <v>3530</v>
      </c>
      <c r="T625" s="148" t="s">
        <v>296</v>
      </c>
      <c r="U625" s="148" t="s">
        <v>3524</v>
      </c>
      <c r="V625" s="148" t="s">
        <v>3525</v>
      </c>
    </row>
    <row r="626" spans="2:22" x14ac:dyDescent="0.3">
      <c r="B626" s="22">
        <v>619</v>
      </c>
      <c r="C626" s="148" t="s">
        <v>3379</v>
      </c>
      <c r="D626" s="148" t="s">
        <v>3469</v>
      </c>
      <c r="E626" s="148" t="s">
        <v>3531</v>
      </c>
      <c r="F626" s="148" t="s">
        <v>3532</v>
      </c>
      <c r="G626" s="148" t="s">
        <v>3533</v>
      </c>
      <c r="H626" s="148" t="s">
        <v>3534</v>
      </c>
      <c r="I626" s="148" t="s">
        <v>235</v>
      </c>
      <c r="J626" s="148">
        <v>2022</v>
      </c>
      <c r="K626" s="148">
        <v>0</v>
      </c>
      <c r="L626" s="148">
        <v>40</v>
      </c>
      <c r="M626" s="148">
        <v>10</v>
      </c>
      <c r="N626" s="148">
        <v>50</v>
      </c>
      <c r="O626" s="148" t="s">
        <v>1486</v>
      </c>
      <c r="P626" s="148" t="s">
        <v>1486</v>
      </c>
      <c r="Q626" s="148" t="s">
        <v>3473</v>
      </c>
      <c r="R626" s="148" t="s">
        <v>296</v>
      </c>
      <c r="S626" s="148" t="s">
        <v>296</v>
      </c>
      <c r="T626" s="148" t="s">
        <v>296</v>
      </c>
      <c r="U626" s="148" t="s">
        <v>3535</v>
      </c>
      <c r="V626" s="148" t="s">
        <v>3536</v>
      </c>
    </row>
    <row r="627" spans="2:22" x14ac:dyDescent="0.3">
      <c r="B627" s="22">
        <v>620</v>
      </c>
      <c r="C627" s="148" t="s">
        <v>3379</v>
      </c>
      <c r="D627" s="148" t="s">
        <v>3469</v>
      </c>
      <c r="E627" s="148" t="s">
        <v>3537</v>
      </c>
      <c r="F627" s="148" t="s">
        <v>3538</v>
      </c>
      <c r="G627" s="148" t="s">
        <v>3539</v>
      </c>
      <c r="H627" s="148" t="s">
        <v>3540</v>
      </c>
      <c r="I627" s="148" t="s">
        <v>235</v>
      </c>
      <c r="J627" s="148">
        <v>2002</v>
      </c>
      <c r="K627" s="148">
        <v>0</v>
      </c>
      <c r="L627" s="148">
        <v>60</v>
      </c>
      <c r="M627" s="148">
        <v>0</v>
      </c>
      <c r="N627" s="148">
        <v>60</v>
      </c>
      <c r="O627" s="148" t="s">
        <v>1486</v>
      </c>
      <c r="P627" s="148" t="s">
        <v>1486</v>
      </c>
      <c r="Q627" s="148" t="s">
        <v>3541</v>
      </c>
      <c r="R627" s="148" t="s">
        <v>3480</v>
      </c>
      <c r="S627" s="148" t="s">
        <v>3542</v>
      </c>
      <c r="T627" s="148" t="s">
        <v>296</v>
      </c>
      <c r="U627" s="148" t="s">
        <v>3543</v>
      </c>
      <c r="V627" s="148" t="s">
        <v>3544</v>
      </c>
    </row>
    <row r="628" spans="2:22" x14ac:dyDescent="0.3">
      <c r="B628" s="22">
        <v>621</v>
      </c>
      <c r="C628" s="148" t="s">
        <v>3379</v>
      </c>
      <c r="D628" s="148" t="s">
        <v>3469</v>
      </c>
      <c r="E628" s="148" t="s">
        <v>3545</v>
      </c>
      <c r="F628" s="148" t="s">
        <v>429</v>
      </c>
      <c r="G628" s="148" t="s">
        <v>3546</v>
      </c>
      <c r="H628" s="148" t="s">
        <v>3547</v>
      </c>
      <c r="I628" s="148" t="s">
        <v>235</v>
      </c>
      <c r="J628" s="148">
        <v>2012</v>
      </c>
      <c r="K628" s="148">
        <v>0</v>
      </c>
      <c r="L628" s="148">
        <v>16</v>
      </c>
      <c r="M628" s="148">
        <v>0</v>
      </c>
      <c r="N628" s="148">
        <v>16</v>
      </c>
      <c r="O628" s="148" t="s">
        <v>1486</v>
      </c>
      <c r="P628" s="148" t="s">
        <v>1486</v>
      </c>
      <c r="Q628" s="148" t="s">
        <v>3548</v>
      </c>
      <c r="R628" s="148" t="s">
        <v>465</v>
      </c>
      <c r="S628" s="148" t="s">
        <v>296</v>
      </c>
      <c r="T628" s="148" t="s">
        <v>296</v>
      </c>
      <c r="U628" s="148" t="s">
        <v>3549</v>
      </c>
      <c r="V628" s="148" t="s">
        <v>3550</v>
      </c>
    </row>
    <row r="629" spans="2:22" x14ac:dyDescent="0.3">
      <c r="B629" s="22">
        <v>622</v>
      </c>
      <c r="C629" s="148" t="s">
        <v>3379</v>
      </c>
      <c r="D629" s="148" t="s">
        <v>3469</v>
      </c>
      <c r="E629" s="148" t="s">
        <v>3551</v>
      </c>
      <c r="F629" s="148" t="s">
        <v>461</v>
      </c>
      <c r="G629" s="148" t="s">
        <v>757</v>
      </c>
      <c r="H629" s="148" t="s">
        <v>3552</v>
      </c>
      <c r="I629" s="148" t="s">
        <v>235</v>
      </c>
      <c r="J629" s="148">
        <v>2015</v>
      </c>
      <c r="K629" s="148">
        <v>0</v>
      </c>
      <c r="L629" s="148">
        <v>200</v>
      </c>
      <c r="M629" s="148">
        <v>10</v>
      </c>
      <c r="N629" s="148">
        <v>210</v>
      </c>
      <c r="O629" s="148" t="s">
        <v>1486</v>
      </c>
      <c r="P629" s="148" t="s">
        <v>1486</v>
      </c>
      <c r="Q629" s="148" t="s">
        <v>3473</v>
      </c>
      <c r="R629" s="148" t="s">
        <v>296</v>
      </c>
      <c r="S629" s="148" t="s">
        <v>296</v>
      </c>
      <c r="T629" s="148" t="s">
        <v>296</v>
      </c>
      <c r="U629" s="148" t="s">
        <v>3474</v>
      </c>
      <c r="V629" s="148" t="s">
        <v>3475</v>
      </c>
    </row>
    <row r="630" spans="2:22" x14ac:dyDescent="0.3">
      <c r="B630" s="22">
        <v>623</v>
      </c>
      <c r="C630" s="148" t="s">
        <v>3379</v>
      </c>
      <c r="D630" s="148" t="s">
        <v>3469</v>
      </c>
      <c r="E630" s="148" t="s">
        <v>3553</v>
      </c>
      <c r="F630" s="148" t="s">
        <v>461</v>
      </c>
      <c r="G630" s="148" t="s">
        <v>757</v>
      </c>
      <c r="H630" s="148" t="s">
        <v>3554</v>
      </c>
      <c r="I630" s="148" t="s">
        <v>235</v>
      </c>
      <c r="J630" s="148">
        <v>2000</v>
      </c>
      <c r="K630" s="148">
        <v>0</v>
      </c>
      <c r="L630" s="148">
        <v>10</v>
      </c>
      <c r="M630" s="148">
        <v>26</v>
      </c>
      <c r="N630" s="148">
        <v>36</v>
      </c>
      <c r="O630" s="148">
        <v>643</v>
      </c>
      <c r="P630" s="148">
        <v>0</v>
      </c>
      <c r="Q630" s="148" t="s">
        <v>3473</v>
      </c>
      <c r="R630" s="148" t="s">
        <v>296</v>
      </c>
      <c r="S630" s="148" t="s">
        <v>296</v>
      </c>
      <c r="T630" s="148" t="s">
        <v>296</v>
      </c>
      <c r="U630" s="148" t="s">
        <v>3474</v>
      </c>
      <c r="V630" s="148" t="s">
        <v>3475</v>
      </c>
    </row>
    <row r="631" spans="2:22" x14ac:dyDescent="0.3">
      <c r="B631" s="22">
        <v>624</v>
      </c>
      <c r="C631" s="148" t="s">
        <v>3555</v>
      </c>
      <c r="D631" s="148" t="s">
        <v>3469</v>
      </c>
      <c r="E631" s="148" t="s">
        <v>3556</v>
      </c>
      <c r="F631" s="148" t="s">
        <v>3557</v>
      </c>
      <c r="G631" s="148" t="s">
        <v>3558</v>
      </c>
      <c r="H631" s="148" t="s">
        <v>3499</v>
      </c>
      <c r="I631" s="148" t="s">
        <v>235</v>
      </c>
      <c r="J631" s="148">
        <v>2017</v>
      </c>
      <c r="K631" s="148">
        <v>0</v>
      </c>
      <c r="L631" s="148">
        <v>270</v>
      </c>
      <c r="M631" s="148">
        <v>0</v>
      </c>
      <c r="N631" s="148">
        <v>0</v>
      </c>
      <c r="O631" s="148" t="s">
        <v>1486</v>
      </c>
      <c r="P631" s="148" t="s">
        <v>1486</v>
      </c>
      <c r="Q631" s="148" t="s">
        <v>3505</v>
      </c>
      <c r="R631" s="148" t="s">
        <v>247</v>
      </c>
      <c r="S631" s="148" t="s">
        <v>3506</v>
      </c>
      <c r="T631" s="148" t="s">
        <v>296</v>
      </c>
      <c r="U631" s="148" t="s">
        <v>3500</v>
      </c>
      <c r="V631" s="148" t="s">
        <v>3501</v>
      </c>
    </row>
    <row r="632" spans="2:22" x14ac:dyDescent="0.3">
      <c r="B632" s="22">
        <v>625</v>
      </c>
      <c r="C632" s="148" t="s">
        <v>3379</v>
      </c>
      <c r="D632" s="148" t="s">
        <v>3559</v>
      </c>
      <c r="E632" s="148" t="s">
        <v>3560</v>
      </c>
      <c r="F632" s="148" t="s">
        <v>1243</v>
      </c>
      <c r="G632" s="148" t="s">
        <v>3561</v>
      </c>
      <c r="H632" s="148" t="s">
        <v>3562</v>
      </c>
      <c r="I632" s="148" t="s">
        <v>235</v>
      </c>
      <c r="J632" s="148" t="s">
        <v>3563</v>
      </c>
      <c r="K632" s="148">
        <v>0</v>
      </c>
      <c r="L632" s="148">
        <v>1100</v>
      </c>
      <c r="M632" s="148">
        <v>0</v>
      </c>
      <c r="N632" s="148">
        <v>1100</v>
      </c>
      <c r="O632" s="148" t="s">
        <v>1486</v>
      </c>
      <c r="P632" s="148" t="s">
        <v>1486</v>
      </c>
      <c r="Q632" s="148" t="s">
        <v>3564</v>
      </c>
      <c r="R632" s="148" t="s">
        <v>247</v>
      </c>
      <c r="S632" s="148" t="s">
        <v>3565</v>
      </c>
      <c r="T632" s="148" t="s">
        <v>296</v>
      </c>
      <c r="U632" s="148" t="s">
        <v>3566</v>
      </c>
      <c r="V632" s="148"/>
    </row>
    <row r="633" spans="2:22" x14ac:dyDescent="0.3">
      <c r="B633" s="22">
        <v>626</v>
      </c>
      <c r="C633" s="148" t="s">
        <v>3379</v>
      </c>
      <c r="D633" s="148" t="s">
        <v>3559</v>
      </c>
      <c r="E633" s="148" t="s">
        <v>3567</v>
      </c>
      <c r="F633" s="148" t="s">
        <v>1243</v>
      </c>
      <c r="G633" s="148" t="s">
        <v>539</v>
      </c>
      <c r="H633" s="148" t="s">
        <v>3568</v>
      </c>
      <c r="I633" s="148" t="s">
        <v>235</v>
      </c>
      <c r="J633" s="148" t="s">
        <v>3569</v>
      </c>
      <c r="K633" s="148">
        <v>0</v>
      </c>
      <c r="L633" s="148">
        <v>135</v>
      </c>
      <c r="M633" s="148">
        <v>0</v>
      </c>
      <c r="N633" s="148">
        <v>135</v>
      </c>
      <c r="O633" s="148" t="s">
        <v>1486</v>
      </c>
      <c r="P633" s="148" t="s">
        <v>1486</v>
      </c>
      <c r="Q633" s="148" t="s">
        <v>3570</v>
      </c>
      <c r="R633" s="148" t="s">
        <v>3571</v>
      </c>
      <c r="S633" s="148" t="s">
        <v>296</v>
      </c>
      <c r="T633" s="148" t="s">
        <v>296</v>
      </c>
      <c r="U633" s="148" t="s">
        <v>3566</v>
      </c>
      <c r="V633" s="148"/>
    </row>
    <row r="634" spans="2:22" x14ac:dyDescent="0.3">
      <c r="B634" s="22">
        <v>627</v>
      </c>
      <c r="C634" s="148" t="s">
        <v>3379</v>
      </c>
      <c r="D634" s="148" t="s">
        <v>3572</v>
      </c>
      <c r="E634" s="148" t="s">
        <v>3573</v>
      </c>
      <c r="F634" s="148" t="s">
        <v>271</v>
      </c>
      <c r="G634" s="148" t="s">
        <v>3574</v>
      </c>
      <c r="H634" s="148" t="s">
        <v>3575</v>
      </c>
      <c r="I634" s="148" t="s">
        <v>235</v>
      </c>
      <c r="J634" s="148" t="s">
        <v>3576</v>
      </c>
      <c r="K634" s="148">
        <v>0</v>
      </c>
      <c r="L634" s="148">
        <v>48</v>
      </c>
      <c r="M634" s="148">
        <v>10</v>
      </c>
      <c r="N634" s="148">
        <v>58</v>
      </c>
      <c r="O634" s="148" t="s">
        <v>3577</v>
      </c>
      <c r="P634" s="148" t="s">
        <v>3577</v>
      </c>
      <c r="Q634" s="148" t="s">
        <v>3578</v>
      </c>
      <c r="R634" s="148" t="s">
        <v>542</v>
      </c>
      <c r="S634" s="148" t="s">
        <v>3579</v>
      </c>
      <c r="T634" s="148" t="s">
        <v>296</v>
      </c>
      <c r="U634" s="148" t="s">
        <v>3580</v>
      </c>
      <c r="V634" s="148" t="s">
        <v>3581</v>
      </c>
    </row>
    <row r="635" spans="2:22" x14ac:dyDescent="0.3">
      <c r="B635" s="22">
        <v>628</v>
      </c>
      <c r="C635" s="148" t="s">
        <v>3379</v>
      </c>
      <c r="D635" s="148" t="s">
        <v>3572</v>
      </c>
      <c r="E635" s="148" t="s">
        <v>3582</v>
      </c>
      <c r="F635" s="148" t="s">
        <v>461</v>
      </c>
      <c r="G635" s="148" t="s">
        <v>3583</v>
      </c>
      <c r="H635" s="148" t="s">
        <v>3584</v>
      </c>
      <c r="I635" s="148" t="s">
        <v>235</v>
      </c>
      <c r="J635" s="148" t="s">
        <v>3585</v>
      </c>
      <c r="K635" s="148">
        <v>0</v>
      </c>
      <c r="L635" s="148">
        <v>80</v>
      </c>
      <c r="M635" s="148">
        <v>0</v>
      </c>
      <c r="N635" s="148">
        <v>80</v>
      </c>
      <c r="O635" s="148" t="s">
        <v>3577</v>
      </c>
      <c r="P635" s="148" t="s">
        <v>3577</v>
      </c>
      <c r="Q635" s="148" t="s">
        <v>3586</v>
      </c>
      <c r="R635" s="148" t="s">
        <v>542</v>
      </c>
      <c r="S635" s="148" t="s">
        <v>3579</v>
      </c>
      <c r="T635" s="148" t="s">
        <v>296</v>
      </c>
      <c r="U635" s="148" t="s">
        <v>3587</v>
      </c>
      <c r="V635" s="148" t="s">
        <v>3588</v>
      </c>
    </row>
    <row r="636" spans="2:22" x14ac:dyDescent="0.3">
      <c r="B636" s="22">
        <v>629</v>
      </c>
      <c r="C636" s="148" t="s">
        <v>3379</v>
      </c>
      <c r="D636" s="148" t="s">
        <v>3572</v>
      </c>
      <c r="E636" s="148" t="s">
        <v>3589</v>
      </c>
      <c r="F636" s="148" t="s">
        <v>429</v>
      </c>
      <c r="G636" s="148" t="s">
        <v>3590</v>
      </c>
      <c r="H636" s="148" t="s">
        <v>3591</v>
      </c>
      <c r="I636" s="148" t="s">
        <v>235</v>
      </c>
      <c r="J636" s="148" t="s">
        <v>3592</v>
      </c>
      <c r="K636" s="148">
        <v>0</v>
      </c>
      <c r="L636" s="148">
        <v>50</v>
      </c>
      <c r="M636" s="148">
        <v>21</v>
      </c>
      <c r="N636" s="148">
        <v>71</v>
      </c>
      <c r="O636" s="148" t="s">
        <v>3577</v>
      </c>
      <c r="P636" s="148" t="s">
        <v>3577</v>
      </c>
      <c r="Q636" s="148" t="s">
        <v>3593</v>
      </c>
      <c r="R636" s="148" t="s">
        <v>542</v>
      </c>
      <c r="S636" s="148" t="s">
        <v>3579</v>
      </c>
      <c r="T636" s="148" t="s">
        <v>296</v>
      </c>
      <c r="U636" s="148" t="s">
        <v>3594</v>
      </c>
      <c r="V636" s="148" t="s">
        <v>3595</v>
      </c>
    </row>
    <row r="637" spans="2:22" x14ac:dyDescent="0.3">
      <c r="B637" s="22">
        <v>630</v>
      </c>
      <c r="C637" s="148" t="s">
        <v>3379</v>
      </c>
      <c r="D637" s="148" t="s">
        <v>3572</v>
      </c>
      <c r="E637" s="148" t="s">
        <v>3596</v>
      </c>
      <c r="F637" s="148" t="s">
        <v>461</v>
      </c>
      <c r="G637" s="148" t="s">
        <v>3597</v>
      </c>
      <c r="H637" s="148" t="s">
        <v>3598</v>
      </c>
      <c r="I637" s="148" t="s">
        <v>235</v>
      </c>
      <c r="J637" s="148" t="s">
        <v>3599</v>
      </c>
      <c r="K637" s="148">
        <v>0</v>
      </c>
      <c r="L637" s="148">
        <v>150</v>
      </c>
      <c r="M637" s="148">
        <v>0</v>
      </c>
      <c r="N637" s="148">
        <v>150</v>
      </c>
      <c r="O637" s="148" t="s">
        <v>3577</v>
      </c>
      <c r="P637" s="148" t="s">
        <v>3577</v>
      </c>
      <c r="Q637" s="148" t="s">
        <v>3600</v>
      </c>
      <c r="R637" s="148" t="s">
        <v>542</v>
      </c>
      <c r="S637" s="148" t="s">
        <v>3579</v>
      </c>
      <c r="T637" s="148" t="s">
        <v>296</v>
      </c>
      <c r="U637" s="148" t="s">
        <v>3587</v>
      </c>
      <c r="V637" s="148" t="s">
        <v>3588</v>
      </c>
    </row>
    <row r="638" spans="2:22" x14ac:dyDescent="0.3">
      <c r="B638" s="22">
        <v>631</v>
      </c>
      <c r="C638" s="148" t="s">
        <v>3379</v>
      </c>
      <c r="D638" s="148" t="s">
        <v>3572</v>
      </c>
      <c r="E638" s="148" t="s">
        <v>3601</v>
      </c>
      <c r="F638" s="148" t="s">
        <v>429</v>
      </c>
      <c r="G638" s="148" t="s">
        <v>3602</v>
      </c>
      <c r="H638" s="148" t="s">
        <v>3603</v>
      </c>
      <c r="I638" s="148" t="s">
        <v>235</v>
      </c>
      <c r="J638" s="148" t="s">
        <v>365</v>
      </c>
      <c r="K638" s="148">
        <v>0</v>
      </c>
      <c r="L638" s="148">
        <v>50</v>
      </c>
      <c r="M638" s="148">
        <v>21</v>
      </c>
      <c r="N638" s="148">
        <v>71</v>
      </c>
      <c r="O638" s="148" t="s">
        <v>3577</v>
      </c>
      <c r="P638" s="148" t="s">
        <v>3577</v>
      </c>
      <c r="Q638" s="148" t="s">
        <v>3604</v>
      </c>
      <c r="R638" s="148" t="s">
        <v>542</v>
      </c>
      <c r="S638" s="148" t="s">
        <v>3579</v>
      </c>
      <c r="T638" s="148" t="s">
        <v>296</v>
      </c>
      <c r="U638" s="148" t="s">
        <v>3594</v>
      </c>
      <c r="V638" s="148" t="s">
        <v>3595</v>
      </c>
    </row>
    <row r="639" spans="2:22" x14ac:dyDescent="0.3">
      <c r="B639" s="22">
        <v>632</v>
      </c>
      <c r="C639" s="148" t="s">
        <v>3379</v>
      </c>
      <c r="D639" s="148" t="s">
        <v>3572</v>
      </c>
      <c r="E639" s="148" t="s">
        <v>3605</v>
      </c>
      <c r="F639" s="148" t="s">
        <v>259</v>
      </c>
      <c r="G639" s="148" t="s">
        <v>3606</v>
      </c>
      <c r="H639" s="148" t="s">
        <v>3607</v>
      </c>
      <c r="I639" s="148" t="s">
        <v>3608</v>
      </c>
      <c r="J639" s="148" t="s">
        <v>3609</v>
      </c>
      <c r="K639" s="148">
        <v>30</v>
      </c>
      <c r="L639" s="148">
        <v>1130</v>
      </c>
      <c r="M639" s="148">
        <v>0</v>
      </c>
      <c r="N639" s="148">
        <v>1160</v>
      </c>
      <c r="O639" s="148" t="s">
        <v>3577</v>
      </c>
      <c r="P639" s="148" t="s">
        <v>3577</v>
      </c>
      <c r="Q639" s="148" t="s">
        <v>3610</v>
      </c>
      <c r="R639" s="148" t="s">
        <v>247</v>
      </c>
      <c r="S639" s="148" t="s">
        <v>3611</v>
      </c>
      <c r="T639" s="148" t="s">
        <v>378</v>
      </c>
      <c r="U639" s="148" t="s">
        <v>3612</v>
      </c>
      <c r="V639" s="148" t="s">
        <v>3613</v>
      </c>
    </row>
    <row r="640" spans="2:22" x14ac:dyDescent="0.3">
      <c r="B640" s="22">
        <v>633</v>
      </c>
      <c r="C640" s="148" t="s">
        <v>3379</v>
      </c>
      <c r="D640" s="148" t="s">
        <v>3572</v>
      </c>
      <c r="E640" s="148" t="s">
        <v>3614</v>
      </c>
      <c r="F640" s="148" t="s">
        <v>429</v>
      </c>
      <c r="G640" s="148" t="s">
        <v>3615</v>
      </c>
      <c r="H640" s="148" t="s">
        <v>3616</v>
      </c>
      <c r="I640" s="148" t="s">
        <v>235</v>
      </c>
      <c r="J640" s="148" t="s">
        <v>262</v>
      </c>
      <c r="K640" s="148">
        <v>0</v>
      </c>
      <c r="L640" s="148">
        <v>50</v>
      </c>
      <c r="M640" s="148">
        <v>21</v>
      </c>
      <c r="N640" s="148">
        <v>71</v>
      </c>
      <c r="O640" s="148" t="s">
        <v>3577</v>
      </c>
      <c r="P640" s="148" t="s">
        <v>3577</v>
      </c>
      <c r="Q640" s="148" t="s">
        <v>3617</v>
      </c>
      <c r="R640" s="148" t="s">
        <v>542</v>
      </c>
      <c r="S640" s="148" t="s">
        <v>3579</v>
      </c>
      <c r="T640" s="148" t="s">
        <v>296</v>
      </c>
      <c r="U640" s="148" t="s">
        <v>3594</v>
      </c>
      <c r="V640" s="148" t="s">
        <v>3595</v>
      </c>
    </row>
    <row r="641" spans="2:22" x14ac:dyDescent="0.3">
      <c r="B641" s="22">
        <v>634</v>
      </c>
      <c r="C641" s="148" t="s">
        <v>3379</v>
      </c>
      <c r="D641" s="148" t="s">
        <v>3572</v>
      </c>
      <c r="E641" s="148" t="s">
        <v>3618</v>
      </c>
      <c r="F641" s="148" t="s">
        <v>429</v>
      </c>
      <c r="G641" s="148" t="s">
        <v>3619</v>
      </c>
      <c r="H641" s="148" t="s">
        <v>3620</v>
      </c>
      <c r="I641" s="148" t="s">
        <v>235</v>
      </c>
      <c r="J641" s="148" t="s">
        <v>3621</v>
      </c>
      <c r="K641" s="148">
        <v>0</v>
      </c>
      <c r="L641" s="148">
        <v>100</v>
      </c>
      <c r="M641" s="148">
        <v>0</v>
      </c>
      <c r="N641" s="148">
        <v>100</v>
      </c>
      <c r="O641" s="148" t="s">
        <v>3577</v>
      </c>
      <c r="P641" s="148" t="s">
        <v>3577</v>
      </c>
      <c r="Q641" s="148" t="s">
        <v>3622</v>
      </c>
      <c r="R641" s="148" t="s">
        <v>542</v>
      </c>
      <c r="S641" s="148" t="s">
        <v>3579</v>
      </c>
      <c r="T641" s="148" t="s">
        <v>296</v>
      </c>
      <c r="U641" s="148" t="s">
        <v>3623</v>
      </c>
      <c r="V641" s="148" t="s">
        <v>3624</v>
      </c>
    </row>
    <row r="642" spans="2:22" x14ac:dyDescent="0.3">
      <c r="B642" s="22">
        <v>635</v>
      </c>
      <c r="C642" s="148" t="s">
        <v>3379</v>
      </c>
      <c r="D642" s="148" t="s">
        <v>3625</v>
      </c>
      <c r="E642" s="148" t="s">
        <v>3626</v>
      </c>
      <c r="F642" s="148" t="s">
        <v>429</v>
      </c>
      <c r="G642" s="148" t="s">
        <v>3627</v>
      </c>
      <c r="H642" s="148" t="s">
        <v>3628</v>
      </c>
      <c r="I642" s="148" t="s">
        <v>235</v>
      </c>
      <c r="J642" s="148" t="s">
        <v>3629</v>
      </c>
      <c r="K642" s="148">
        <v>0</v>
      </c>
      <c r="L642" s="148">
        <v>50</v>
      </c>
      <c r="M642" s="148">
        <v>21</v>
      </c>
      <c r="N642" s="148">
        <v>71</v>
      </c>
      <c r="O642" s="148" t="s">
        <v>3577</v>
      </c>
      <c r="P642" s="148" t="s">
        <v>3577</v>
      </c>
      <c r="Q642" s="148" t="s">
        <v>3630</v>
      </c>
      <c r="R642" s="148" t="s">
        <v>542</v>
      </c>
      <c r="S642" s="148" t="s">
        <v>3579</v>
      </c>
      <c r="T642" s="148" t="s">
        <v>296</v>
      </c>
      <c r="U642" s="148" t="s">
        <v>3594</v>
      </c>
      <c r="V642" s="148" t="s">
        <v>3595</v>
      </c>
    </row>
    <row r="643" spans="2:22" x14ac:dyDescent="0.3">
      <c r="B643" s="22">
        <v>636</v>
      </c>
      <c r="C643" s="148" t="s">
        <v>3379</v>
      </c>
      <c r="D643" s="148" t="s">
        <v>3631</v>
      </c>
      <c r="E643" s="148" t="s">
        <v>3632</v>
      </c>
      <c r="F643" s="148" t="s">
        <v>390</v>
      </c>
      <c r="G643" s="148" t="s">
        <v>3633</v>
      </c>
      <c r="H643" s="148" t="s">
        <v>3634</v>
      </c>
      <c r="I643" s="148" t="s">
        <v>3635</v>
      </c>
      <c r="J643" s="148" t="s">
        <v>831</v>
      </c>
      <c r="K643" s="148">
        <v>0</v>
      </c>
      <c r="L643" s="148">
        <v>1000</v>
      </c>
      <c r="M643" s="148">
        <v>0</v>
      </c>
      <c r="N643" s="148">
        <v>1000</v>
      </c>
      <c r="O643" s="148" t="s">
        <v>3636</v>
      </c>
      <c r="P643" s="148" t="s">
        <v>296</v>
      </c>
      <c r="Q643" s="148" t="s">
        <v>3637</v>
      </c>
      <c r="R643" s="148" t="s">
        <v>542</v>
      </c>
      <c r="S643" s="148" t="s">
        <v>3638</v>
      </c>
      <c r="T643" s="148" t="s">
        <v>296</v>
      </c>
      <c r="U643" s="148" t="s">
        <v>3639</v>
      </c>
      <c r="V643" s="148" t="s">
        <v>3640</v>
      </c>
    </row>
    <row r="644" spans="2:22" x14ac:dyDescent="0.3">
      <c r="B644" s="22">
        <v>637</v>
      </c>
      <c r="C644" s="148" t="s">
        <v>3379</v>
      </c>
      <c r="D644" s="148" t="s">
        <v>3631</v>
      </c>
      <c r="E644" s="148" t="s">
        <v>3641</v>
      </c>
      <c r="F644" s="148" t="s">
        <v>390</v>
      </c>
      <c r="G644" s="148" t="s">
        <v>3642</v>
      </c>
      <c r="H644" s="148" t="s">
        <v>3643</v>
      </c>
      <c r="I644" s="148" t="s">
        <v>3644</v>
      </c>
      <c r="J644" s="148" t="s">
        <v>744</v>
      </c>
      <c r="K644" s="148">
        <v>0</v>
      </c>
      <c r="L644" s="148">
        <v>0</v>
      </c>
      <c r="M644" s="148">
        <v>10</v>
      </c>
      <c r="N644" s="148">
        <v>10</v>
      </c>
      <c r="O644" s="148" t="s">
        <v>1486</v>
      </c>
      <c r="P644" s="148" t="s">
        <v>296</v>
      </c>
      <c r="Q644" s="148" t="s">
        <v>3645</v>
      </c>
      <c r="R644" s="148" t="s">
        <v>542</v>
      </c>
      <c r="S644" s="148" t="s">
        <v>3646</v>
      </c>
      <c r="T644" s="148" t="s">
        <v>296</v>
      </c>
      <c r="U644" s="148" t="s">
        <v>3647</v>
      </c>
      <c r="V644" s="148"/>
    </row>
    <row r="645" spans="2:22" x14ac:dyDescent="0.3">
      <c r="B645" s="22">
        <v>638</v>
      </c>
      <c r="C645" s="148" t="s">
        <v>3379</v>
      </c>
      <c r="D645" s="148" t="s">
        <v>3631</v>
      </c>
      <c r="E645" s="148" t="s">
        <v>3648</v>
      </c>
      <c r="F645" s="148" t="s">
        <v>390</v>
      </c>
      <c r="G645" s="148" t="s">
        <v>3649</v>
      </c>
      <c r="H645" s="148" t="s">
        <v>3643</v>
      </c>
      <c r="I645" s="148" t="s">
        <v>3644</v>
      </c>
      <c r="J645" s="148" t="s">
        <v>3402</v>
      </c>
      <c r="K645" s="148">
        <v>0</v>
      </c>
      <c r="L645" s="148">
        <v>0</v>
      </c>
      <c r="M645" s="148">
        <v>8</v>
      </c>
      <c r="N645" s="148">
        <v>8</v>
      </c>
      <c r="O645" s="148" t="s">
        <v>3650</v>
      </c>
      <c r="P645" s="148" t="s">
        <v>296</v>
      </c>
      <c r="Q645" s="148" t="s">
        <v>3651</v>
      </c>
      <c r="R645" s="148" t="s">
        <v>542</v>
      </c>
      <c r="S645" s="148" t="s">
        <v>3646</v>
      </c>
      <c r="T645" s="148" t="s">
        <v>296</v>
      </c>
      <c r="U645" s="148" t="s">
        <v>3652</v>
      </c>
      <c r="V645" s="148"/>
    </row>
    <row r="646" spans="2:22" x14ac:dyDescent="0.3">
      <c r="B646" s="22">
        <v>639</v>
      </c>
      <c r="C646" s="148" t="s">
        <v>3379</v>
      </c>
      <c r="D646" s="148" t="s">
        <v>3631</v>
      </c>
      <c r="E646" s="148" t="s">
        <v>3653</v>
      </c>
      <c r="F646" s="148" t="s">
        <v>390</v>
      </c>
      <c r="G646" s="148" t="s">
        <v>3410</v>
      </c>
      <c r="H646" s="148" t="s">
        <v>3654</v>
      </c>
      <c r="I646" s="148" t="s">
        <v>3644</v>
      </c>
      <c r="J646" s="148" t="s">
        <v>3392</v>
      </c>
      <c r="K646" s="148">
        <v>0</v>
      </c>
      <c r="L646" s="148">
        <v>80</v>
      </c>
      <c r="M646" s="148">
        <v>0</v>
      </c>
      <c r="N646" s="148">
        <v>80</v>
      </c>
      <c r="O646" s="148" t="s">
        <v>1486</v>
      </c>
      <c r="P646" s="148" t="s">
        <v>296</v>
      </c>
      <c r="Q646" s="148" t="s">
        <v>3655</v>
      </c>
      <c r="R646" s="148" t="s">
        <v>542</v>
      </c>
      <c r="S646" s="148" t="s">
        <v>3656</v>
      </c>
      <c r="T646" s="148" t="s">
        <v>296</v>
      </c>
      <c r="U646" s="148" t="s">
        <v>3657</v>
      </c>
      <c r="V646" s="148" t="s">
        <v>3658</v>
      </c>
    </row>
    <row r="647" spans="2:22" x14ac:dyDescent="0.3">
      <c r="B647" s="22">
        <v>640</v>
      </c>
      <c r="C647" s="148" t="s">
        <v>3379</v>
      </c>
      <c r="D647" s="148" t="s">
        <v>3631</v>
      </c>
      <c r="E647" s="148" t="s">
        <v>3659</v>
      </c>
      <c r="F647" s="148" t="s">
        <v>390</v>
      </c>
      <c r="G647" s="148" t="s">
        <v>3660</v>
      </c>
      <c r="H647" s="148" t="s">
        <v>3661</v>
      </c>
      <c r="I647" s="148" t="s">
        <v>3662</v>
      </c>
      <c r="J647" s="148" t="s">
        <v>3585</v>
      </c>
      <c r="K647" s="148">
        <v>0</v>
      </c>
      <c r="L647" s="148">
        <v>80</v>
      </c>
      <c r="M647" s="148">
        <v>10</v>
      </c>
      <c r="N647" s="148">
        <v>90</v>
      </c>
      <c r="O647" s="148" t="s">
        <v>1486</v>
      </c>
      <c r="P647" s="148" t="s">
        <v>296</v>
      </c>
      <c r="Q647" s="148" t="s">
        <v>3663</v>
      </c>
      <c r="R647" s="148" t="s">
        <v>542</v>
      </c>
      <c r="S647" s="148" t="s">
        <v>3656</v>
      </c>
      <c r="T647" s="148" t="s">
        <v>296</v>
      </c>
      <c r="U647" s="148" t="s">
        <v>3664</v>
      </c>
      <c r="V647" s="148" t="s">
        <v>3665</v>
      </c>
    </row>
    <row r="648" spans="2:22" x14ac:dyDescent="0.3">
      <c r="B648" s="22">
        <v>641</v>
      </c>
      <c r="C648" s="148" t="s">
        <v>3379</v>
      </c>
      <c r="D648" s="148" t="s">
        <v>3631</v>
      </c>
      <c r="E648" s="148" t="s">
        <v>3666</v>
      </c>
      <c r="F648" s="148" t="s">
        <v>390</v>
      </c>
      <c r="G648" s="148" t="s">
        <v>3667</v>
      </c>
      <c r="H648" s="148" t="s">
        <v>3668</v>
      </c>
      <c r="I648" s="148" t="s">
        <v>3669</v>
      </c>
      <c r="J648" s="148" t="s">
        <v>831</v>
      </c>
      <c r="K648" s="148">
        <v>0</v>
      </c>
      <c r="L648" s="148">
        <v>970</v>
      </c>
      <c r="M648" s="148">
        <v>0</v>
      </c>
      <c r="N648" s="148">
        <v>970</v>
      </c>
      <c r="O648" s="148" t="s">
        <v>3670</v>
      </c>
      <c r="P648" s="148" t="s">
        <v>296</v>
      </c>
      <c r="Q648" s="148" t="s">
        <v>3671</v>
      </c>
      <c r="R648" s="148" t="s">
        <v>542</v>
      </c>
      <c r="S648" s="148" t="s">
        <v>3672</v>
      </c>
      <c r="T648" s="148" t="s">
        <v>296</v>
      </c>
      <c r="U648" s="148" t="s">
        <v>3673</v>
      </c>
      <c r="V648" s="148" t="s">
        <v>3674</v>
      </c>
    </row>
    <row r="649" spans="2:22" x14ac:dyDescent="0.3">
      <c r="B649" s="22">
        <v>642</v>
      </c>
      <c r="C649" s="148" t="s">
        <v>3379</v>
      </c>
      <c r="D649" s="148" t="s">
        <v>3631</v>
      </c>
      <c r="E649" s="148" t="s">
        <v>3675</v>
      </c>
      <c r="F649" s="148" t="s">
        <v>390</v>
      </c>
      <c r="G649" s="148" t="s">
        <v>3676</v>
      </c>
      <c r="H649" s="148" t="s">
        <v>3677</v>
      </c>
      <c r="I649" s="148" t="s">
        <v>3644</v>
      </c>
      <c r="J649" s="148" t="s">
        <v>3585</v>
      </c>
      <c r="K649" s="148">
        <v>0</v>
      </c>
      <c r="L649" s="148">
        <v>80</v>
      </c>
      <c r="M649" s="148">
        <v>10</v>
      </c>
      <c r="N649" s="148">
        <v>90</v>
      </c>
      <c r="O649" s="148" t="s">
        <v>1486</v>
      </c>
      <c r="P649" s="148" t="s">
        <v>296</v>
      </c>
      <c r="Q649" s="148" t="s">
        <v>3678</v>
      </c>
      <c r="R649" s="148" t="s">
        <v>542</v>
      </c>
      <c r="S649" s="148" t="s">
        <v>3656</v>
      </c>
      <c r="T649" s="148" t="s">
        <v>296</v>
      </c>
      <c r="U649" s="148" t="s">
        <v>3679</v>
      </c>
      <c r="V649" s="148" t="s">
        <v>3680</v>
      </c>
    </row>
    <row r="650" spans="2:22" x14ac:dyDescent="0.3">
      <c r="B650" s="22">
        <v>643</v>
      </c>
      <c r="C650" s="148" t="s">
        <v>3379</v>
      </c>
      <c r="D650" s="148" t="s">
        <v>3681</v>
      </c>
      <c r="E650" s="148" t="s">
        <v>3682</v>
      </c>
      <c r="F650" s="148" t="s">
        <v>243</v>
      </c>
      <c r="G650" s="148" t="s">
        <v>3683</v>
      </c>
      <c r="H650" s="148" t="s">
        <v>3681</v>
      </c>
      <c r="I650" s="148" t="s">
        <v>235</v>
      </c>
      <c r="J650" s="148" t="s">
        <v>3684</v>
      </c>
      <c r="K650" s="148">
        <v>2800</v>
      </c>
      <c r="L650" s="148">
        <v>13539</v>
      </c>
      <c r="M650" s="148">
        <v>3300</v>
      </c>
      <c r="N650" s="148">
        <v>19639</v>
      </c>
      <c r="O650" s="148" t="s">
        <v>3685</v>
      </c>
      <c r="P650" s="148" t="s">
        <v>3685</v>
      </c>
      <c r="Q650" s="148" t="s">
        <v>3686</v>
      </c>
      <c r="R650" s="148" t="s">
        <v>247</v>
      </c>
      <c r="S650" s="148" t="s">
        <v>3687</v>
      </c>
      <c r="T650" s="148" t="s">
        <v>296</v>
      </c>
      <c r="U650" s="148" t="s">
        <v>3688</v>
      </c>
      <c r="V650" s="148" t="s">
        <v>3689</v>
      </c>
    </row>
    <row r="651" spans="2:22" x14ac:dyDescent="0.3">
      <c r="B651" s="22">
        <v>644</v>
      </c>
      <c r="C651" s="148" t="s">
        <v>3379</v>
      </c>
      <c r="D651" s="148" t="s">
        <v>3690</v>
      </c>
      <c r="E651" s="148" t="s">
        <v>3691</v>
      </c>
      <c r="F651" s="148" t="s">
        <v>232</v>
      </c>
      <c r="G651" s="148" t="s">
        <v>3692</v>
      </c>
      <c r="H651" s="148" t="s">
        <v>3693</v>
      </c>
      <c r="I651" s="148" t="s">
        <v>420</v>
      </c>
      <c r="J651" s="148">
        <v>2003</v>
      </c>
      <c r="K651" s="148">
        <v>0</v>
      </c>
      <c r="L651" s="148">
        <v>30</v>
      </c>
      <c r="M651" s="148">
        <v>0</v>
      </c>
      <c r="N651" s="148">
        <v>30</v>
      </c>
      <c r="O651" s="148" t="s">
        <v>1486</v>
      </c>
      <c r="P651" s="148" t="s">
        <v>1486</v>
      </c>
      <c r="Q651" s="148" t="s">
        <v>3694</v>
      </c>
      <c r="R651" s="148" t="s">
        <v>3695</v>
      </c>
      <c r="S651" s="148" t="s">
        <v>3646</v>
      </c>
      <c r="T651" s="148" t="s">
        <v>296</v>
      </c>
      <c r="U651" s="148" t="s">
        <v>3696</v>
      </c>
      <c r="V651" s="148" t="s">
        <v>3697</v>
      </c>
    </row>
    <row r="652" spans="2:22" x14ac:dyDescent="0.3">
      <c r="B652" s="22">
        <v>645</v>
      </c>
      <c r="C652" s="148" t="s">
        <v>3379</v>
      </c>
      <c r="D652" s="148" t="s">
        <v>3690</v>
      </c>
      <c r="E652" s="148" t="s">
        <v>3698</v>
      </c>
      <c r="F652" s="148" t="s">
        <v>259</v>
      </c>
      <c r="G652" s="148" t="s">
        <v>3692</v>
      </c>
      <c r="H652" s="148" t="s">
        <v>3699</v>
      </c>
      <c r="I652" s="148" t="s">
        <v>420</v>
      </c>
      <c r="J652" s="148" t="s">
        <v>420</v>
      </c>
      <c r="K652" s="148">
        <v>0</v>
      </c>
      <c r="L652" s="148">
        <v>559</v>
      </c>
      <c r="M652" s="148">
        <v>0</v>
      </c>
      <c r="N652" s="148">
        <v>559</v>
      </c>
      <c r="O652" s="148" t="s">
        <v>1486</v>
      </c>
      <c r="P652" s="148" t="s">
        <v>1486</v>
      </c>
      <c r="Q652" s="148" t="s">
        <v>3700</v>
      </c>
      <c r="R652" s="148" t="s">
        <v>3700</v>
      </c>
      <c r="S652" s="148" t="s">
        <v>3701</v>
      </c>
      <c r="T652" s="148" t="s">
        <v>296</v>
      </c>
      <c r="U652" s="148" t="s">
        <v>3702</v>
      </c>
      <c r="V652" s="148" t="s">
        <v>3703</v>
      </c>
    </row>
    <row r="653" spans="2:22" x14ac:dyDescent="0.3">
      <c r="B653" s="22">
        <v>646</v>
      </c>
      <c r="C653" s="148" t="s">
        <v>3379</v>
      </c>
      <c r="D653" s="148" t="s">
        <v>3690</v>
      </c>
      <c r="E653" s="148" t="s">
        <v>3704</v>
      </c>
      <c r="F653" s="148" t="s">
        <v>232</v>
      </c>
      <c r="G653" s="148" t="s">
        <v>3692</v>
      </c>
      <c r="H653" s="148" t="s">
        <v>3705</v>
      </c>
      <c r="I653" s="148" t="s">
        <v>420</v>
      </c>
      <c r="J653" s="148">
        <v>2008</v>
      </c>
      <c r="K653" s="148">
        <v>0</v>
      </c>
      <c r="L653" s="148">
        <v>30</v>
      </c>
      <c r="M653" s="148">
        <v>0</v>
      </c>
      <c r="N653" s="148">
        <v>30</v>
      </c>
      <c r="O653" s="148" t="s">
        <v>1486</v>
      </c>
      <c r="P653" s="148" t="s">
        <v>1486</v>
      </c>
      <c r="Q653" s="148" t="s">
        <v>3706</v>
      </c>
      <c r="R653" s="148" t="s">
        <v>3707</v>
      </c>
      <c r="S653" s="148" t="s">
        <v>3646</v>
      </c>
      <c r="T653" s="148" t="s">
        <v>296</v>
      </c>
      <c r="U653" s="148" t="s">
        <v>3708</v>
      </c>
      <c r="V653" s="148" t="s">
        <v>3709</v>
      </c>
    </row>
    <row r="654" spans="2:22" x14ac:dyDescent="0.3">
      <c r="B654" s="22">
        <v>647</v>
      </c>
      <c r="C654" s="148" t="s">
        <v>3379</v>
      </c>
      <c r="D654" s="148" t="s">
        <v>3690</v>
      </c>
      <c r="E654" s="148" t="s">
        <v>3710</v>
      </c>
      <c r="F654" s="148" t="s">
        <v>461</v>
      </c>
      <c r="G654" s="148" t="s">
        <v>3692</v>
      </c>
      <c r="H654" s="148" t="s">
        <v>3711</v>
      </c>
      <c r="I654" s="148" t="s">
        <v>420</v>
      </c>
      <c r="J654" s="148">
        <v>2006</v>
      </c>
      <c r="K654" s="148">
        <v>0</v>
      </c>
      <c r="L654" s="148">
        <v>20</v>
      </c>
      <c r="M654" s="148">
        <v>20</v>
      </c>
      <c r="N654" s="148">
        <v>40</v>
      </c>
      <c r="O654" s="148" t="s">
        <v>1486</v>
      </c>
      <c r="P654" s="148" t="s">
        <v>1486</v>
      </c>
      <c r="Q654" s="148" t="s">
        <v>3712</v>
      </c>
      <c r="R654" s="148" t="s">
        <v>3712</v>
      </c>
      <c r="S654" s="148" t="s">
        <v>3646</v>
      </c>
      <c r="T654" s="148" t="s">
        <v>296</v>
      </c>
      <c r="U654" s="148" t="s">
        <v>3713</v>
      </c>
      <c r="V654" s="148" t="s">
        <v>3714</v>
      </c>
    </row>
    <row r="655" spans="2:22" x14ac:dyDescent="0.3">
      <c r="B655" s="22">
        <v>648</v>
      </c>
      <c r="C655" s="148" t="s">
        <v>3379</v>
      </c>
      <c r="D655" s="148" t="s">
        <v>3690</v>
      </c>
      <c r="E655" s="148" t="s">
        <v>3715</v>
      </c>
      <c r="F655" s="148" t="s">
        <v>461</v>
      </c>
      <c r="G655" s="148" t="s">
        <v>3692</v>
      </c>
      <c r="H655" s="148" t="s">
        <v>3716</v>
      </c>
      <c r="I655" s="148" t="s">
        <v>420</v>
      </c>
      <c r="J655" s="148">
        <v>2007</v>
      </c>
      <c r="K655" s="148">
        <v>0</v>
      </c>
      <c r="L655" s="148">
        <v>20</v>
      </c>
      <c r="M655" s="148">
        <v>20</v>
      </c>
      <c r="N655" s="148">
        <v>40</v>
      </c>
      <c r="O655" s="148" t="s">
        <v>1486</v>
      </c>
      <c r="P655" s="148" t="s">
        <v>1486</v>
      </c>
      <c r="Q655" s="148" t="s">
        <v>3717</v>
      </c>
      <c r="R655" s="148" t="s">
        <v>3718</v>
      </c>
      <c r="S655" s="148" t="s">
        <v>3646</v>
      </c>
      <c r="T655" s="148" t="s">
        <v>296</v>
      </c>
      <c r="U655" s="148" t="s">
        <v>3713</v>
      </c>
      <c r="V655" s="148" t="s">
        <v>3714</v>
      </c>
    </row>
    <row r="656" spans="2:22" x14ac:dyDescent="0.3">
      <c r="B656" s="22">
        <v>649</v>
      </c>
      <c r="C656" s="148" t="s">
        <v>3379</v>
      </c>
      <c r="D656" s="148" t="s">
        <v>3690</v>
      </c>
      <c r="E656" s="148" t="s">
        <v>3719</v>
      </c>
      <c r="F656" s="148" t="s">
        <v>461</v>
      </c>
      <c r="G656" s="148" t="s">
        <v>300</v>
      </c>
      <c r="H656" s="148" t="s">
        <v>3720</v>
      </c>
      <c r="I656" s="148" t="s">
        <v>420</v>
      </c>
      <c r="J656" s="148">
        <v>2010</v>
      </c>
      <c r="K656" s="148">
        <v>0</v>
      </c>
      <c r="L656" s="148">
        <v>15</v>
      </c>
      <c r="M656" s="148">
        <v>0</v>
      </c>
      <c r="N656" s="148">
        <v>15</v>
      </c>
      <c r="O656" s="148">
        <v>3270</v>
      </c>
      <c r="P656" s="148" t="s">
        <v>296</v>
      </c>
      <c r="Q656" s="148" t="s">
        <v>3721</v>
      </c>
      <c r="R656" s="148" t="s">
        <v>3721</v>
      </c>
      <c r="S656" s="148" t="s">
        <v>3646</v>
      </c>
      <c r="T656" s="148" t="s">
        <v>296</v>
      </c>
      <c r="U656" s="148" t="s">
        <v>3708</v>
      </c>
      <c r="V656" s="148" t="s">
        <v>3709</v>
      </c>
    </row>
    <row r="657" spans="2:22" x14ac:dyDescent="0.3">
      <c r="B657" s="22">
        <v>650</v>
      </c>
      <c r="C657" s="148" t="s">
        <v>3379</v>
      </c>
      <c r="D657" s="148" t="s">
        <v>3690</v>
      </c>
      <c r="E657" s="148" t="s">
        <v>3722</v>
      </c>
      <c r="F657" s="148" t="s">
        <v>461</v>
      </c>
      <c r="G657" s="148" t="s">
        <v>300</v>
      </c>
      <c r="H657" s="148" t="s">
        <v>3723</v>
      </c>
      <c r="I657" s="148" t="s">
        <v>420</v>
      </c>
      <c r="J657" s="148">
        <v>2010</v>
      </c>
      <c r="K657" s="148">
        <v>0</v>
      </c>
      <c r="L657" s="148">
        <v>60</v>
      </c>
      <c r="M657" s="148">
        <v>0</v>
      </c>
      <c r="N657" s="148">
        <v>60</v>
      </c>
      <c r="O657" s="148" t="s">
        <v>846</v>
      </c>
      <c r="P657" s="148" t="s">
        <v>846</v>
      </c>
      <c r="Q657" s="148" t="s">
        <v>3724</v>
      </c>
      <c r="R657" s="148" t="s">
        <v>3725</v>
      </c>
      <c r="S657" s="148" t="s">
        <v>3646</v>
      </c>
      <c r="T657" s="148" t="s">
        <v>296</v>
      </c>
      <c r="U657" s="148" t="s">
        <v>3726</v>
      </c>
      <c r="V657" s="148" t="s">
        <v>3727</v>
      </c>
    </row>
    <row r="658" spans="2:22" x14ac:dyDescent="0.3">
      <c r="B658" s="22">
        <v>651</v>
      </c>
      <c r="C658" s="148" t="s">
        <v>3379</v>
      </c>
      <c r="D658" s="148" t="s">
        <v>3690</v>
      </c>
      <c r="E658" s="148" t="s">
        <v>3728</v>
      </c>
      <c r="F658" s="148" t="s">
        <v>259</v>
      </c>
      <c r="G658" s="148" t="s">
        <v>3729</v>
      </c>
      <c r="H658" s="148" t="s">
        <v>3730</v>
      </c>
      <c r="I658" s="148" t="s">
        <v>420</v>
      </c>
      <c r="J658" s="148">
        <v>2018</v>
      </c>
      <c r="K658" s="148">
        <v>0</v>
      </c>
      <c r="L658" s="148">
        <v>115</v>
      </c>
      <c r="M658" s="148">
        <v>0</v>
      </c>
      <c r="N658" s="148">
        <v>115</v>
      </c>
      <c r="O658" s="148" t="s">
        <v>846</v>
      </c>
      <c r="P658" s="148" t="s">
        <v>846</v>
      </c>
      <c r="Q658" s="148" t="s">
        <v>3731</v>
      </c>
      <c r="R658" s="148" t="s">
        <v>3732</v>
      </c>
      <c r="S658" s="148" t="s">
        <v>3646</v>
      </c>
      <c r="T658" s="148" t="s">
        <v>296</v>
      </c>
      <c r="U658" s="148" t="s">
        <v>3733</v>
      </c>
      <c r="V658" s="148" t="s">
        <v>3734</v>
      </c>
    </row>
    <row r="659" spans="2:22" x14ac:dyDescent="0.3">
      <c r="B659" s="22">
        <v>652</v>
      </c>
      <c r="C659" s="148" t="s">
        <v>3379</v>
      </c>
      <c r="D659" s="148" t="s">
        <v>3690</v>
      </c>
      <c r="E659" s="148" t="s">
        <v>3735</v>
      </c>
      <c r="F659" s="148" t="s">
        <v>461</v>
      </c>
      <c r="G659" s="148" t="s">
        <v>334</v>
      </c>
      <c r="H659" s="148" t="s">
        <v>3736</v>
      </c>
      <c r="I659" s="148" t="s">
        <v>420</v>
      </c>
      <c r="J659" s="148">
        <v>2007</v>
      </c>
      <c r="K659" s="148">
        <v>0</v>
      </c>
      <c r="L659" s="148">
        <v>30</v>
      </c>
      <c r="M659" s="148">
        <v>10</v>
      </c>
      <c r="N659" s="148">
        <v>40</v>
      </c>
      <c r="O659" s="148" t="s">
        <v>846</v>
      </c>
      <c r="P659" s="148" t="s">
        <v>846</v>
      </c>
      <c r="Q659" s="148" t="s">
        <v>3737</v>
      </c>
      <c r="R659" s="148" t="s">
        <v>3737</v>
      </c>
      <c r="S659" s="148" t="s">
        <v>3646</v>
      </c>
      <c r="T659" s="148" t="s">
        <v>296</v>
      </c>
      <c r="U659" s="148" t="s">
        <v>3738</v>
      </c>
      <c r="V659" s="148" t="s">
        <v>3739</v>
      </c>
    </row>
    <row r="660" spans="2:22" x14ac:dyDescent="0.3">
      <c r="B660" s="22">
        <v>653</v>
      </c>
      <c r="C660" s="148" t="s">
        <v>3379</v>
      </c>
      <c r="D660" s="148" t="s">
        <v>3690</v>
      </c>
      <c r="E660" s="148" t="s">
        <v>3740</v>
      </c>
      <c r="F660" s="148" t="s">
        <v>461</v>
      </c>
      <c r="G660" s="148" t="s">
        <v>334</v>
      </c>
      <c r="H660" s="148" t="s">
        <v>3741</v>
      </c>
      <c r="I660" s="148" t="s">
        <v>420</v>
      </c>
      <c r="J660" s="148">
        <v>2018</v>
      </c>
      <c r="K660" s="148">
        <v>0</v>
      </c>
      <c r="L660" s="148">
        <v>50</v>
      </c>
      <c r="M660" s="148">
        <v>0</v>
      </c>
      <c r="N660" s="148">
        <v>50</v>
      </c>
      <c r="O660" s="148" t="s">
        <v>3742</v>
      </c>
      <c r="P660" s="148" t="s">
        <v>296</v>
      </c>
      <c r="Q660" s="148" t="s">
        <v>3743</v>
      </c>
      <c r="R660" s="148" t="s">
        <v>3725</v>
      </c>
      <c r="S660" s="148" t="s">
        <v>3646</v>
      </c>
      <c r="T660" s="148" t="s">
        <v>296</v>
      </c>
      <c r="U660" s="148" t="s">
        <v>3726</v>
      </c>
      <c r="V660" s="148" t="s">
        <v>3727</v>
      </c>
    </row>
    <row r="661" spans="2:22" x14ac:dyDescent="0.3">
      <c r="B661" s="22">
        <v>654</v>
      </c>
      <c r="C661" s="148" t="s">
        <v>3379</v>
      </c>
      <c r="D661" s="148" t="s">
        <v>3690</v>
      </c>
      <c r="E661" s="148" t="s">
        <v>3744</v>
      </c>
      <c r="F661" s="148" t="s">
        <v>259</v>
      </c>
      <c r="G661" s="148" t="s">
        <v>334</v>
      </c>
      <c r="H661" s="148" t="s">
        <v>3745</v>
      </c>
      <c r="I661" s="148" t="s">
        <v>420</v>
      </c>
      <c r="J661" s="148">
        <v>1989</v>
      </c>
      <c r="K661" s="148">
        <v>0</v>
      </c>
      <c r="L661" s="148">
        <v>50</v>
      </c>
      <c r="M661" s="148">
        <v>0</v>
      </c>
      <c r="N661" s="148">
        <v>50</v>
      </c>
      <c r="O661" s="148" t="s">
        <v>846</v>
      </c>
      <c r="P661" s="148" t="s">
        <v>846</v>
      </c>
      <c r="Q661" s="148" t="s">
        <v>3746</v>
      </c>
      <c r="R661" s="148" t="s">
        <v>3746</v>
      </c>
      <c r="S661" s="148" t="s">
        <v>3747</v>
      </c>
      <c r="T661" s="148" t="s">
        <v>296</v>
      </c>
      <c r="U661" s="148" t="s">
        <v>3733</v>
      </c>
      <c r="V661" s="148" t="s">
        <v>3734</v>
      </c>
    </row>
    <row r="662" spans="2:22" x14ac:dyDescent="0.3">
      <c r="B662" s="22">
        <v>655</v>
      </c>
      <c r="C662" s="148" t="s">
        <v>3379</v>
      </c>
      <c r="D662" s="148" t="s">
        <v>3690</v>
      </c>
      <c r="E662" s="148" t="s">
        <v>3748</v>
      </c>
      <c r="F662" s="148" t="s">
        <v>429</v>
      </c>
      <c r="G662" s="148" t="s">
        <v>334</v>
      </c>
      <c r="H662" s="148" t="s">
        <v>3749</v>
      </c>
      <c r="I662" s="148" t="s">
        <v>420</v>
      </c>
      <c r="J662" s="148">
        <v>2009</v>
      </c>
      <c r="K662" s="148">
        <v>0</v>
      </c>
      <c r="L662" s="148">
        <v>100</v>
      </c>
      <c r="M662" s="148">
        <v>0</v>
      </c>
      <c r="N662" s="148">
        <v>100</v>
      </c>
      <c r="O662" s="148">
        <v>20000</v>
      </c>
      <c r="P662" s="148" t="s">
        <v>296</v>
      </c>
      <c r="Q662" s="148" t="s">
        <v>3750</v>
      </c>
      <c r="R662" s="148" t="s">
        <v>3750</v>
      </c>
      <c r="S662" s="148" t="s">
        <v>296</v>
      </c>
      <c r="T662" s="148" t="s">
        <v>296</v>
      </c>
      <c r="U662" s="148" t="s">
        <v>3751</v>
      </c>
      <c r="V662" s="148" t="s">
        <v>3752</v>
      </c>
    </row>
    <row r="663" spans="2:22" x14ac:dyDescent="0.3">
      <c r="B663" s="22">
        <v>656</v>
      </c>
      <c r="C663" s="148" t="s">
        <v>3379</v>
      </c>
      <c r="D663" s="148" t="s">
        <v>3690</v>
      </c>
      <c r="E663" s="148" t="s">
        <v>3753</v>
      </c>
      <c r="F663" s="148" t="s">
        <v>243</v>
      </c>
      <c r="G663" s="148" t="s">
        <v>334</v>
      </c>
      <c r="H663" s="148" t="s">
        <v>3754</v>
      </c>
      <c r="I663" s="148" t="s">
        <v>420</v>
      </c>
      <c r="J663" s="148">
        <v>1968</v>
      </c>
      <c r="K663" s="148">
        <v>0</v>
      </c>
      <c r="L663" s="148">
        <v>90</v>
      </c>
      <c r="M663" s="148">
        <v>0</v>
      </c>
      <c r="N663" s="148">
        <v>90</v>
      </c>
      <c r="O663" s="148">
        <v>300</v>
      </c>
      <c r="P663" s="148" t="s">
        <v>296</v>
      </c>
      <c r="Q663" s="148" t="s">
        <v>3755</v>
      </c>
      <c r="R663" s="148" t="s">
        <v>3755</v>
      </c>
      <c r="S663" s="148" t="s">
        <v>3756</v>
      </c>
      <c r="T663" s="148" t="s">
        <v>296</v>
      </c>
      <c r="U663" s="148" t="s">
        <v>3757</v>
      </c>
      <c r="V663" s="148" t="s">
        <v>3758</v>
      </c>
    </row>
    <row r="664" spans="2:22" x14ac:dyDescent="0.3">
      <c r="B664" s="22">
        <v>657</v>
      </c>
      <c r="C664" s="148" t="s">
        <v>3379</v>
      </c>
      <c r="D664" s="148" t="s">
        <v>3690</v>
      </c>
      <c r="E664" s="148" t="s">
        <v>3759</v>
      </c>
      <c r="F664" s="148" t="s">
        <v>461</v>
      </c>
      <c r="G664" s="148" t="s">
        <v>3760</v>
      </c>
      <c r="H664" s="148" t="s">
        <v>3736</v>
      </c>
      <c r="I664" s="148" t="s">
        <v>420</v>
      </c>
      <c r="J664" s="148">
        <v>2005</v>
      </c>
      <c r="K664" s="148">
        <v>0</v>
      </c>
      <c r="L664" s="148">
        <v>100</v>
      </c>
      <c r="M664" s="148">
        <v>0</v>
      </c>
      <c r="N664" s="148">
        <v>100</v>
      </c>
      <c r="O664" s="148" t="s">
        <v>1486</v>
      </c>
      <c r="P664" s="148" t="s">
        <v>1486</v>
      </c>
      <c r="Q664" s="148" t="s">
        <v>3761</v>
      </c>
      <c r="R664" s="148" t="s">
        <v>3761</v>
      </c>
      <c r="S664" s="148" t="s">
        <v>3646</v>
      </c>
      <c r="T664" s="148" t="s">
        <v>296</v>
      </c>
      <c r="U664" s="148" t="s">
        <v>3726</v>
      </c>
      <c r="V664" s="148" t="s">
        <v>3727</v>
      </c>
    </row>
    <row r="665" spans="2:22" x14ac:dyDescent="0.3">
      <c r="B665" s="22">
        <v>658</v>
      </c>
      <c r="C665" s="148" t="s">
        <v>3379</v>
      </c>
      <c r="D665" s="148" t="s">
        <v>3690</v>
      </c>
      <c r="E665" s="148" t="s">
        <v>3762</v>
      </c>
      <c r="F665" s="148" t="s">
        <v>232</v>
      </c>
      <c r="G665" s="148" t="s">
        <v>3763</v>
      </c>
      <c r="H665" s="148" t="s">
        <v>3764</v>
      </c>
      <c r="I665" s="148" t="s">
        <v>420</v>
      </c>
      <c r="J665" s="148">
        <v>2000</v>
      </c>
      <c r="K665" s="148">
        <v>0</v>
      </c>
      <c r="L665" s="148">
        <v>0</v>
      </c>
      <c r="M665" s="148">
        <v>90</v>
      </c>
      <c r="N665" s="148">
        <v>90</v>
      </c>
      <c r="O665" s="148" t="s">
        <v>1486</v>
      </c>
      <c r="P665" s="148" t="s">
        <v>1486</v>
      </c>
      <c r="Q665" s="148" t="s">
        <v>3765</v>
      </c>
      <c r="R665" s="148" t="s">
        <v>3765</v>
      </c>
      <c r="S665" s="148" t="s">
        <v>3646</v>
      </c>
      <c r="T665" s="148" t="s">
        <v>296</v>
      </c>
      <c r="U665" s="148" t="s">
        <v>3766</v>
      </c>
      <c r="V665" s="148" t="s">
        <v>3767</v>
      </c>
    </row>
    <row r="666" spans="2:22" x14ac:dyDescent="0.3">
      <c r="B666" s="22">
        <v>659</v>
      </c>
      <c r="C666" s="148" t="s">
        <v>3379</v>
      </c>
      <c r="D666" s="148" t="s">
        <v>3768</v>
      </c>
      <c r="E666" s="148" t="s">
        <v>3769</v>
      </c>
      <c r="F666" s="148" t="s">
        <v>271</v>
      </c>
      <c r="G666" s="148" t="s">
        <v>3434</v>
      </c>
      <c r="H666" s="148" t="s">
        <v>3770</v>
      </c>
      <c r="I666" s="148" t="s">
        <v>235</v>
      </c>
      <c r="J666" s="148">
        <v>2008</v>
      </c>
      <c r="K666" s="148">
        <v>0</v>
      </c>
      <c r="L666" s="148">
        <v>10</v>
      </c>
      <c r="M666" s="148">
        <v>0</v>
      </c>
      <c r="N666" s="148">
        <v>10</v>
      </c>
      <c r="O666" s="148" t="s">
        <v>1486</v>
      </c>
      <c r="P666" s="148" t="s">
        <v>1486</v>
      </c>
      <c r="Q666" s="148" t="s">
        <v>3771</v>
      </c>
      <c r="R666" s="148" t="s">
        <v>357</v>
      </c>
      <c r="S666" s="148" t="s">
        <v>3772</v>
      </c>
      <c r="T666" s="148" t="s">
        <v>296</v>
      </c>
      <c r="U666" s="148" t="s">
        <v>3773</v>
      </c>
      <c r="V666" s="148" t="s">
        <v>3774</v>
      </c>
    </row>
    <row r="667" spans="2:22" x14ac:dyDescent="0.3">
      <c r="B667" s="22">
        <v>660</v>
      </c>
      <c r="C667" s="148" t="s">
        <v>3379</v>
      </c>
      <c r="D667" s="148" t="s">
        <v>3768</v>
      </c>
      <c r="E667" s="148" t="s">
        <v>3775</v>
      </c>
      <c r="F667" s="148" t="s">
        <v>271</v>
      </c>
      <c r="G667" s="148" t="s">
        <v>3434</v>
      </c>
      <c r="H667" s="148" t="s">
        <v>3776</v>
      </c>
      <c r="I667" s="148" t="s">
        <v>235</v>
      </c>
      <c r="J667" s="148">
        <v>2008</v>
      </c>
      <c r="K667" s="148">
        <v>0</v>
      </c>
      <c r="L667" s="148">
        <v>10</v>
      </c>
      <c r="M667" s="148">
        <v>0</v>
      </c>
      <c r="N667" s="148">
        <v>10</v>
      </c>
      <c r="O667" s="148" t="s">
        <v>1486</v>
      </c>
      <c r="P667" s="148" t="s">
        <v>1486</v>
      </c>
      <c r="Q667" s="148" t="s">
        <v>3777</v>
      </c>
      <c r="R667" s="148" t="s">
        <v>357</v>
      </c>
      <c r="S667" s="148" t="s">
        <v>3772</v>
      </c>
      <c r="T667" s="148" t="s">
        <v>296</v>
      </c>
      <c r="U667" s="148" t="s">
        <v>3773</v>
      </c>
      <c r="V667" s="148" t="s">
        <v>3774</v>
      </c>
    </row>
    <row r="668" spans="2:22" x14ac:dyDescent="0.3">
      <c r="B668" s="22">
        <v>661</v>
      </c>
      <c r="C668" s="148" t="s">
        <v>3379</v>
      </c>
      <c r="D668" s="148" t="s">
        <v>3768</v>
      </c>
      <c r="E668" s="148" t="s">
        <v>3778</v>
      </c>
      <c r="F668" s="148" t="s">
        <v>259</v>
      </c>
      <c r="G668" s="148" t="s">
        <v>420</v>
      </c>
      <c r="H668" s="148" t="s">
        <v>420</v>
      </c>
      <c r="I668" s="148" t="s">
        <v>235</v>
      </c>
      <c r="J668" s="148" t="s">
        <v>3779</v>
      </c>
      <c r="K668" s="148">
        <v>0</v>
      </c>
      <c r="L668" s="148">
        <v>40</v>
      </c>
      <c r="M668" s="148">
        <v>0</v>
      </c>
      <c r="N668" s="148">
        <v>40</v>
      </c>
      <c r="O668" s="148" t="s">
        <v>1486</v>
      </c>
      <c r="P668" s="148" t="s">
        <v>1486</v>
      </c>
      <c r="Q668" s="148" t="s">
        <v>420</v>
      </c>
      <c r="R668" s="148" t="s">
        <v>296</v>
      </c>
      <c r="S668" s="148" t="s">
        <v>296</v>
      </c>
      <c r="T668" s="148" t="s">
        <v>296</v>
      </c>
      <c r="U668" s="148" t="s">
        <v>3773</v>
      </c>
      <c r="V668" s="148" t="s">
        <v>3774</v>
      </c>
    </row>
    <row r="669" spans="2:22" x14ac:dyDescent="0.3">
      <c r="B669" s="22">
        <v>662</v>
      </c>
      <c r="C669" s="148" t="s">
        <v>3379</v>
      </c>
      <c r="D669" s="148" t="s">
        <v>3768</v>
      </c>
      <c r="E669" s="148" t="s">
        <v>3780</v>
      </c>
      <c r="F669" s="148" t="s">
        <v>429</v>
      </c>
      <c r="G669" s="148" t="s">
        <v>3434</v>
      </c>
      <c r="H669" s="148" t="s">
        <v>3781</v>
      </c>
      <c r="I669" s="148" t="s">
        <v>292</v>
      </c>
      <c r="J669" s="148">
        <v>2000</v>
      </c>
      <c r="K669" s="148">
        <v>0</v>
      </c>
      <c r="L669" s="148">
        <v>60</v>
      </c>
      <c r="M669" s="148">
        <v>0</v>
      </c>
      <c r="N669" s="148">
        <v>60</v>
      </c>
      <c r="O669" s="148" t="s">
        <v>255</v>
      </c>
      <c r="P669" s="148" t="s">
        <v>296</v>
      </c>
      <c r="Q669" s="148" t="s">
        <v>3782</v>
      </c>
      <c r="R669" s="148" t="s">
        <v>247</v>
      </c>
      <c r="S669" s="148" t="s">
        <v>3783</v>
      </c>
      <c r="T669" s="148" t="s">
        <v>296</v>
      </c>
      <c r="U669" s="148" t="s">
        <v>3773</v>
      </c>
      <c r="V669" s="148" t="s">
        <v>3774</v>
      </c>
    </row>
    <row r="670" spans="2:22" x14ac:dyDescent="0.3">
      <c r="B670" s="22">
        <v>663</v>
      </c>
      <c r="C670" s="148" t="s">
        <v>3379</v>
      </c>
      <c r="D670" s="148" t="s">
        <v>3768</v>
      </c>
      <c r="E670" s="148" t="s">
        <v>3784</v>
      </c>
      <c r="F670" s="148" t="s">
        <v>461</v>
      </c>
      <c r="G670" s="148" t="s">
        <v>353</v>
      </c>
      <c r="H670" s="148" t="s">
        <v>3785</v>
      </c>
      <c r="I670" s="148" t="s">
        <v>292</v>
      </c>
      <c r="J670" s="148">
        <v>2021</v>
      </c>
      <c r="K670" s="148">
        <v>0</v>
      </c>
      <c r="L670" s="148">
        <v>500</v>
      </c>
      <c r="M670" s="148">
        <v>0</v>
      </c>
      <c r="N670" s="148">
        <v>500</v>
      </c>
      <c r="O670" s="148">
        <v>5053</v>
      </c>
      <c r="P670" s="148" t="s">
        <v>296</v>
      </c>
      <c r="Q670" s="148" t="s">
        <v>3782</v>
      </c>
      <c r="R670" s="148" t="s">
        <v>247</v>
      </c>
      <c r="S670" s="148" t="s">
        <v>3783</v>
      </c>
      <c r="T670" s="148" t="s">
        <v>296</v>
      </c>
      <c r="U670" s="148" t="s">
        <v>3773</v>
      </c>
      <c r="V670" s="148" t="s">
        <v>3774</v>
      </c>
    </row>
    <row r="671" spans="2:22" x14ac:dyDescent="0.3">
      <c r="B671" s="22">
        <v>664</v>
      </c>
      <c r="C671" s="148" t="s">
        <v>3379</v>
      </c>
      <c r="D671" s="148" t="s">
        <v>3768</v>
      </c>
      <c r="E671" s="148" t="s">
        <v>3786</v>
      </c>
      <c r="F671" s="148" t="s">
        <v>461</v>
      </c>
      <c r="G671" s="148" t="s">
        <v>3466</v>
      </c>
      <c r="H671" s="148" t="s">
        <v>3785</v>
      </c>
      <c r="I671" s="148" t="s">
        <v>292</v>
      </c>
      <c r="J671" s="148">
        <v>1981</v>
      </c>
      <c r="K671" s="148">
        <v>0</v>
      </c>
      <c r="L671" s="148">
        <v>2500</v>
      </c>
      <c r="M671" s="148">
        <v>0</v>
      </c>
      <c r="N671" s="148">
        <v>2500</v>
      </c>
      <c r="O671" s="148" t="s">
        <v>3787</v>
      </c>
      <c r="P671" s="148" t="s">
        <v>3787</v>
      </c>
      <c r="Q671" s="148" t="s">
        <v>3782</v>
      </c>
      <c r="R671" s="148" t="s">
        <v>247</v>
      </c>
      <c r="S671" s="148" t="s">
        <v>3783</v>
      </c>
      <c r="T671" s="148" t="s">
        <v>296</v>
      </c>
      <c r="U671" s="148" t="s">
        <v>3773</v>
      </c>
      <c r="V671" s="148" t="s">
        <v>3774</v>
      </c>
    </row>
    <row r="672" spans="2:22" x14ac:dyDescent="0.3">
      <c r="B672" s="22">
        <v>665</v>
      </c>
      <c r="C672" s="148" t="s">
        <v>3379</v>
      </c>
      <c r="D672" s="148" t="s">
        <v>3768</v>
      </c>
      <c r="E672" s="148" t="s">
        <v>3788</v>
      </c>
      <c r="F672" s="148" t="s">
        <v>461</v>
      </c>
      <c r="G672" s="148" t="s">
        <v>420</v>
      </c>
      <c r="H672" s="148" t="s">
        <v>3785</v>
      </c>
      <c r="I672" s="148" t="s">
        <v>292</v>
      </c>
      <c r="J672" s="148" t="s">
        <v>3779</v>
      </c>
      <c r="K672" s="148">
        <v>0</v>
      </c>
      <c r="L672" s="148">
        <v>290</v>
      </c>
      <c r="M672" s="148">
        <v>0</v>
      </c>
      <c r="N672" s="148">
        <v>290</v>
      </c>
      <c r="O672" s="148" t="s">
        <v>1486</v>
      </c>
      <c r="P672" s="148" t="s">
        <v>1486</v>
      </c>
      <c r="Q672" s="148" t="s">
        <v>3782</v>
      </c>
      <c r="R672" s="148" t="s">
        <v>247</v>
      </c>
      <c r="S672" s="148" t="s">
        <v>3783</v>
      </c>
      <c r="T672" s="148" t="s">
        <v>296</v>
      </c>
      <c r="U672" s="148" t="s">
        <v>3773</v>
      </c>
      <c r="V672" s="148" t="s">
        <v>3774</v>
      </c>
    </row>
    <row r="673" spans="2:22" x14ac:dyDescent="0.3">
      <c r="B673" s="22">
        <v>666</v>
      </c>
      <c r="C673" s="148" t="s">
        <v>3379</v>
      </c>
      <c r="D673" s="148" t="s">
        <v>3789</v>
      </c>
      <c r="E673" s="148" t="s">
        <v>3790</v>
      </c>
      <c r="F673" s="148" t="s">
        <v>3791</v>
      </c>
      <c r="G673" s="148" t="s">
        <v>3792</v>
      </c>
      <c r="H673" s="148" t="s">
        <v>3793</v>
      </c>
      <c r="I673" s="148" t="s">
        <v>292</v>
      </c>
      <c r="J673" s="148">
        <v>2018</v>
      </c>
      <c r="K673" s="148">
        <v>0</v>
      </c>
      <c r="L673" s="148">
        <v>270</v>
      </c>
      <c r="M673" s="148">
        <v>80</v>
      </c>
      <c r="N673" s="148">
        <v>350</v>
      </c>
      <c r="O673" s="148" t="s">
        <v>1486</v>
      </c>
      <c r="P673" s="148" t="s">
        <v>1486</v>
      </c>
      <c r="Q673" s="148" t="s">
        <v>3794</v>
      </c>
      <c r="R673" s="148" t="s">
        <v>3795</v>
      </c>
      <c r="S673" s="148" t="s">
        <v>296</v>
      </c>
      <c r="T673" s="148" t="s">
        <v>296</v>
      </c>
      <c r="U673" s="148" t="s">
        <v>3796</v>
      </c>
      <c r="V673" s="148" t="s">
        <v>3797</v>
      </c>
    </row>
    <row r="674" spans="2:22" x14ac:dyDescent="0.3">
      <c r="B674" s="22">
        <v>667</v>
      </c>
      <c r="C674" s="148" t="s">
        <v>3379</v>
      </c>
      <c r="D674" s="148" t="s">
        <v>3789</v>
      </c>
      <c r="E674" s="148" t="s">
        <v>3798</v>
      </c>
      <c r="F674" s="148" t="s">
        <v>3799</v>
      </c>
      <c r="G674" s="148" t="s">
        <v>3800</v>
      </c>
      <c r="H674" s="148" t="s">
        <v>3801</v>
      </c>
      <c r="I674" s="148" t="s">
        <v>292</v>
      </c>
      <c r="J674" s="148">
        <v>2019</v>
      </c>
      <c r="K674" s="148">
        <v>0</v>
      </c>
      <c r="L674" s="148">
        <v>300</v>
      </c>
      <c r="M674" s="148">
        <v>0</v>
      </c>
      <c r="N674" s="148">
        <v>300</v>
      </c>
      <c r="O674" s="148" t="s">
        <v>1486</v>
      </c>
      <c r="P674" s="148" t="s">
        <v>1486</v>
      </c>
      <c r="Q674" s="148" t="s">
        <v>3802</v>
      </c>
      <c r="R674" s="148" t="s">
        <v>296</v>
      </c>
      <c r="S674" s="148" t="s">
        <v>296</v>
      </c>
      <c r="T674" s="148" t="s">
        <v>296</v>
      </c>
      <c r="U674" s="148" t="s">
        <v>3803</v>
      </c>
      <c r="V674" s="148" t="s">
        <v>3804</v>
      </c>
    </row>
    <row r="675" spans="2:22" x14ac:dyDescent="0.3">
      <c r="B675" s="22">
        <v>668</v>
      </c>
      <c r="C675" s="148" t="s">
        <v>3379</v>
      </c>
      <c r="D675" s="148" t="s">
        <v>3789</v>
      </c>
      <c r="E675" s="148" t="s">
        <v>3805</v>
      </c>
      <c r="F675" s="148" t="s">
        <v>429</v>
      </c>
      <c r="G675" s="148" t="s">
        <v>3806</v>
      </c>
      <c r="H675" s="148" t="s">
        <v>3807</v>
      </c>
      <c r="I675" s="148" t="s">
        <v>292</v>
      </c>
      <c r="J675" s="148">
        <v>2003</v>
      </c>
      <c r="K675" s="148">
        <v>0</v>
      </c>
      <c r="L675" s="148">
        <v>1300</v>
      </c>
      <c r="M675" s="148">
        <v>0</v>
      </c>
      <c r="N675" s="148">
        <v>1300</v>
      </c>
      <c r="O675" s="148" t="s">
        <v>1486</v>
      </c>
      <c r="P675" s="148" t="s">
        <v>1486</v>
      </c>
      <c r="Q675" s="148" t="s">
        <v>3808</v>
      </c>
      <c r="R675" s="148" t="s">
        <v>296</v>
      </c>
      <c r="S675" s="148" t="s">
        <v>296</v>
      </c>
      <c r="T675" s="148" t="s">
        <v>296</v>
      </c>
      <c r="U675" s="148" t="s">
        <v>3809</v>
      </c>
      <c r="V675" s="148" t="s">
        <v>3810</v>
      </c>
    </row>
    <row r="676" spans="2:22" x14ac:dyDescent="0.3">
      <c r="B676" s="22">
        <v>669</v>
      </c>
      <c r="C676" s="148" t="s">
        <v>3379</v>
      </c>
      <c r="D676" s="148" t="s">
        <v>3789</v>
      </c>
      <c r="E676" s="148" t="s">
        <v>3811</v>
      </c>
      <c r="F676" s="148" t="s">
        <v>259</v>
      </c>
      <c r="G676" s="148" t="s">
        <v>3812</v>
      </c>
      <c r="H676" s="148" t="s">
        <v>3813</v>
      </c>
      <c r="I676" s="148" t="s">
        <v>292</v>
      </c>
      <c r="J676" s="148">
        <v>1955</v>
      </c>
      <c r="K676" s="148">
        <v>0</v>
      </c>
      <c r="L676" s="148">
        <v>1800</v>
      </c>
      <c r="M676" s="148">
        <v>0</v>
      </c>
      <c r="N676" s="148">
        <v>1800</v>
      </c>
      <c r="O676" s="148" t="s">
        <v>3814</v>
      </c>
      <c r="P676" s="148" t="s">
        <v>296</v>
      </c>
      <c r="Q676" s="148" t="s">
        <v>3808</v>
      </c>
      <c r="R676" s="148" t="s">
        <v>296</v>
      </c>
      <c r="S676" s="148" t="s">
        <v>296</v>
      </c>
      <c r="T676" s="148" t="s">
        <v>296</v>
      </c>
      <c r="U676" s="148" t="s">
        <v>3815</v>
      </c>
      <c r="V676" s="148" t="s">
        <v>3816</v>
      </c>
    </row>
    <row r="677" spans="2:22" x14ac:dyDescent="0.3">
      <c r="B677" s="22">
        <v>670</v>
      </c>
      <c r="C677" s="148" t="s">
        <v>3379</v>
      </c>
      <c r="D677" s="148" t="s">
        <v>3789</v>
      </c>
      <c r="E677" s="148" t="s">
        <v>3817</v>
      </c>
      <c r="F677" s="148" t="s">
        <v>429</v>
      </c>
      <c r="G677" s="148" t="s">
        <v>3692</v>
      </c>
      <c r="H677" s="148" t="s">
        <v>420</v>
      </c>
      <c r="I677" s="148" t="s">
        <v>292</v>
      </c>
      <c r="J677" s="148">
        <v>2022</v>
      </c>
      <c r="K677" s="148">
        <v>0</v>
      </c>
      <c r="L677" s="148">
        <v>19</v>
      </c>
      <c r="M677" s="148">
        <v>0</v>
      </c>
      <c r="N677" s="148"/>
      <c r="O677" s="148" t="s">
        <v>1486</v>
      </c>
      <c r="P677" s="148" t="s">
        <v>296</v>
      </c>
      <c r="Q677" s="148" t="s">
        <v>3818</v>
      </c>
      <c r="R677" s="148" t="s">
        <v>296</v>
      </c>
      <c r="S677" s="148" t="s">
        <v>296</v>
      </c>
      <c r="T677" s="148" t="s">
        <v>296</v>
      </c>
      <c r="U677" s="148" t="s">
        <v>3819</v>
      </c>
      <c r="V677" s="148" t="s">
        <v>3820</v>
      </c>
    </row>
    <row r="678" spans="2:22" x14ac:dyDescent="0.3">
      <c r="B678" s="22">
        <v>671</v>
      </c>
      <c r="C678" s="148" t="s">
        <v>3379</v>
      </c>
      <c r="D678" s="148" t="s">
        <v>3789</v>
      </c>
      <c r="E678" s="148" t="s">
        <v>3821</v>
      </c>
      <c r="F678" s="148" t="s">
        <v>3822</v>
      </c>
      <c r="G678" s="148" t="s">
        <v>3823</v>
      </c>
      <c r="H678" s="148" t="s">
        <v>3824</v>
      </c>
      <c r="I678" s="148" t="s">
        <v>292</v>
      </c>
      <c r="J678" s="148">
        <v>2004</v>
      </c>
      <c r="K678" s="148">
        <v>0</v>
      </c>
      <c r="L678" s="148">
        <v>150</v>
      </c>
      <c r="M678" s="148">
        <v>0</v>
      </c>
      <c r="N678" s="148">
        <v>150</v>
      </c>
      <c r="O678" s="148" t="s">
        <v>3825</v>
      </c>
      <c r="P678" s="148" t="s">
        <v>296</v>
      </c>
      <c r="Q678" s="148" t="s">
        <v>3826</v>
      </c>
      <c r="R678" s="148" t="s">
        <v>296</v>
      </c>
      <c r="S678" s="148" t="s">
        <v>296</v>
      </c>
      <c r="T678" s="148" t="s">
        <v>296</v>
      </c>
      <c r="U678" s="148" t="s">
        <v>3827</v>
      </c>
      <c r="V678" s="148" t="s">
        <v>3828</v>
      </c>
    </row>
    <row r="679" spans="2:22" x14ac:dyDescent="0.3">
      <c r="B679" s="22">
        <v>672</v>
      </c>
      <c r="C679" s="148" t="s">
        <v>3379</v>
      </c>
      <c r="D679" s="148" t="s">
        <v>3789</v>
      </c>
      <c r="E679" s="148" t="s">
        <v>3829</v>
      </c>
      <c r="F679" s="148" t="s">
        <v>3791</v>
      </c>
      <c r="G679" s="148" t="s">
        <v>3830</v>
      </c>
      <c r="H679" s="148" t="s">
        <v>3831</v>
      </c>
      <c r="I679" s="148" t="s">
        <v>292</v>
      </c>
      <c r="J679" s="148">
        <v>2006</v>
      </c>
      <c r="K679" s="148">
        <v>0</v>
      </c>
      <c r="L679" s="148">
        <v>23</v>
      </c>
      <c r="M679" s="148">
        <v>3</v>
      </c>
      <c r="N679" s="148">
        <v>26</v>
      </c>
      <c r="O679" s="148" t="s">
        <v>1486</v>
      </c>
      <c r="P679" s="148" t="s">
        <v>1486</v>
      </c>
      <c r="Q679" s="148" t="s">
        <v>3832</v>
      </c>
      <c r="R679" s="148" t="s">
        <v>3795</v>
      </c>
      <c r="S679" s="148" t="s">
        <v>296</v>
      </c>
      <c r="T679" s="148" t="s">
        <v>296</v>
      </c>
      <c r="U679" s="148" t="s">
        <v>3833</v>
      </c>
      <c r="V679" s="148" t="s">
        <v>3834</v>
      </c>
    </row>
    <row r="680" spans="2:22" x14ac:dyDescent="0.3">
      <c r="B680" s="22">
        <v>673</v>
      </c>
      <c r="C680" s="148" t="s">
        <v>3379</v>
      </c>
      <c r="D680" s="148" t="s">
        <v>3789</v>
      </c>
      <c r="E680" s="148" t="s">
        <v>3835</v>
      </c>
      <c r="F680" s="148" t="s">
        <v>461</v>
      </c>
      <c r="G680" s="148" t="s">
        <v>3836</v>
      </c>
      <c r="H680" s="148" t="s">
        <v>3837</v>
      </c>
      <c r="I680" s="148" t="s">
        <v>292</v>
      </c>
      <c r="J680" s="148">
        <v>2006</v>
      </c>
      <c r="K680" s="148">
        <v>0</v>
      </c>
      <c r="L680" s="148">
        <v>100</v>
      </c>
      <c r="M680" s="148">
        <v>20</v>
      </c>
      <c r="N680" s="148">
        <v>120</v>
      </c>
      <c r="O680" s="148" t="s">
        <v>3838</v>
      </c>
      <c r="P680" s="148" t="s">
        <v>3838</v>
      </c>
      <c r="Q680" s="148" t="s">
        <v>3839</v>
      </c>
      <c r="R680" s="148" t="s">
        <v>3795</v>
      </c>
      <c r="S680" s="148" t="s">
        <v>296</v>
      </c>
      <c r="T680" s="148" t="s">
        <v>296</v>
      </c>
      <c r="U680" s="148" t="s">
        <v>3840</v>
      </c>
      <c r="V680" s="148" t="s">
        <v>3841</v>
      </c>
    </row>
    <row r="681" spans="2:22" x14ac:dyDescent="0.3">
      <c r="B681" s="22">
        <v>674</v>
      </c>
      <c r="C681" s="148" t="s">
        <v>3379</v>
      </c>
      <c r="D681" s="148" t="s">
        <v>3842</v>
      </c>
      <c r="E681" s="148" t="s">
        <v>3843</v>
      </c>
      <c r="F681" s="148" t="s">
        <v>461</v>
      </c>
      <c r="G681" s="148" t="s">
        <v>3844</v>
      </c>
      <c r="H681" s="148" t="s">
        <v>3845</v>
      </c>
      <c r="I681" s="148" t="s">
        <v>3846</v>
      </c>
      <c r="J681" s="148" t="s">
        <v>3609</v>
      </c>
      <c r="K681" s="148">
        <v>0</v>
      </c>
      <c r="L681" s="148">
        <v>16</v>
      </c>
      <c r="M681" s="148">
        <v>0</v>
      </c>
      <c r="N681" s="148">
        <v>16</v>
      </c>
      <c r="O681" s="148" t="s">
        <v>3847</v>
      </c>
      <c r="P681" s="148" t="s">
        <v>3847</v>
      </c>
      <c r="Q681" s="148" t="s">
        <v>3848</v>
      </c>
      <c r="R681" s="148" t="s">
        <v>3849</v>
      </c>
      <c r="S681" s="148" t="s">
        <v>274</v>
      </c>
      <c r="T681" s="148" t="s">
        <v>296</v>
      </c>
      <c r="U681" s="148" t="s">
        <v>3850</v>
      </c>
      <c r="V681" s="148" t="s">
        <v>3851</v>
      </c>
    </row>
    <row r="682" spans="2:22" x14ac:dyDescent="0.3">
      <c r="B682" s="22">
        <v>675</v>
      </c>
      <c r="C682" s="148" t="s">
        <v>3379</v>
      </c>
      <c r="D682" s="148" t="s">
        <v>3842</v>
      </c>
      <c r="E682" s="148" t="s">
        <v>3852</v>
      </c>
      <c r="F682" s="148" t="s">
        <v>461</v>
      </c>
      <c r="G682" s="148" t="s">
        <v>373</v>
      </c>
      <c r="H682" s="148" t="s">
        <v>3845</v>
      </c>
      <c r="I682" s="148" t="s">
        <v>3846</v>
      </c>
      <c r="J682" s="148" t="s">
        <v>3384</v>
      </c>
      <c r="K682" s="148">
        <v>0</v>
      </c>
      <c r="L682" s="148">
        <v>8</v>
      </c>
      <c r="M682" s="148">
        <v>0</v>
      </c>
      <c r="N682" s="148">
        <v>8</v>
      </c>
      <c r="O682" s="148" t="s">
        <v>3847</v>
      </c>
      <c r="P682" s="148" t="s">
        <v>3847</v>
      </c>
      <c r="Q682" s="148" t="s">
        <v>3848</v>
      </c>
      <c r="R682" s="148" t="s">
        <v>3849</v>
      </c>
      <c r="S682" s="148" t="s">
        <v>274</v>
      </c>
      <c r="T682" s="148" t="s">
        <v>296</v>
      </c>
      <c r="U682" s="148" t="s">
        <v>3850</v>
      </c>
      <c r="V682" s="148" t="s">
        <v>3851</v>
      </c>
    </row>
    <row r="683" spans="2:22" x14ac:dyDescent="0.3">
      <c r="B683" s="22">
        <v>676</v>
      </c>
      <c r="C683" s="148" t="s">
        <v>3379</v>
      </c>
      <c r="D683" s="148" t="s">
        <v>3842</v>
      </c>
      <c r="E683" s="148" t="s">
        <v>3853</v>
      </c>
      <c r="F683" s="148" t="s">
        <v>461</v>
      </c>
      <c r="G683" s="148" t="s">
        <v>300</v>
      </c>
      <c r="H683" s="148" t="s">
        <v>3854</v>
      </c>
      <c r="I683" s="148" t="s">
        <v>3846</v>
      </c>
      <c r="J683" s="148" t="s">
        <v>3855</v>
      </c>
      <c r="K683" s="148">
        <v>0</v>
      </c>
      <c r="L683" s="148">
        <v>14</v>
      </c>
      <c r="M683" s="148">
        <v>0</v>
      </c>
      <c r="N683" s="148">
        <v>14</v>
      </c>
      <c r="O683" s="148" t="s">
        <v>3847</v>
      </c>
      <c r="P683" s="148" t="s">
        <v>3847</v>
      </c>
      <c r="Q683" s="148" t="s">
        <v>3856</v>
      </c>
      <c r="R683" s="148" t="s">
        <v>3849</v>
      </c>
      <c r="S683" s="148" t="s">
        <v>274</v>
      </c>
      <c r="T683" s="148" t="s">
        <v>296</v>
      </c>
      <c r="U683" s="148" t="s">
        <v>3857</v>
      </c>
      <c r="V683" s="148" t="s">
        <v>3858</v>
      </c>
    </row>
    <row r="684" spans="2:22" x14ac:dyDescent="0.3">
      <c r="B684" s="22">
        <v>677</v>
      </c>
      <c r="C684" s="148" t="s">
        <v>3379</v>
      </c>
      <c r="D684" s="148" t="s">
        <v>3842</v>
      </c>
      <c r="E684" s="148" t="s">
        <v>3859</v>
      </c>
      <c r="F684" s="148" t="s">
        <v>461</v>
      </c>
      <c r="G684" s="148" t="s">
        <v>3860</v>
      </c>
      <c r="H684" s="148" t="s">
        <v>3861</v>
      </c>
      <c r="I684" s="148" t="s">
        <v>3846</v>
      </c>
      <c r="J684" s="148" t="s">
        <v>3862</v>
      </c>
      <c r="K684" s="148">
        <v>30</v>
      </c>
      <c r="L684" s="148">
        <v>1360</v>
      </c>
      <c r="M684" s="148">
        <v>0</v>
      </c>
      <c r="N684" s="148">
        <v>1390</v>
      </c>
      <c r="O684" s="148" t="s">
        <v>3863</v>
      </c>
      <c r="P684" s="148" t="s">
        <v>296</v>
      </c>
      <c r="Q684" s="148" t="s">
        <v>3864</v>
      </c>
      <c r="R684" s="148" t="s">
        <v>3849</v>
      </c>
      <c r="S684" s="148" t="s">
        <v>3865</v>
      </c>
      <c r="T684" s="148" t="s">
        <v>378</v>
      </c>
      <c r="U684" s="148" t="s">
        <v>3866</v>
      </c>
      <c r="V684" s="148" t="s">
        <v>3867</v>
      </c>
    </row>
    <row r="685" spans="2:22" x14ac:dyDescent="0.3">
      <c r="B685" s="22">
        <v>678</v>
      </c>
      <c r="C685" s="148" t="s">
        <v>3379</v>
      </c>
      <c r="D685" s="148" t="s">
        <v>3842</v>
      </c>
      <c r="E685" s="148" t="s">
        <v>3868</v>
      </c>
      <c r="F685" s="148" t="s">
        <v>243</v>
      </c>
      <c r="G685" s="148" t="s">
        <v>3869</v>
      </c>
      <c r="H685" s="148" t="s">
        <v>3870</v>
      </c>
      <c r="I685" s="148" t="s">
        <v>3846</v>
      </c>
      <c r="J685" s="148" t="s">
        <v>3871</v>
      </c>
      <c r="K685" s="148">
        <v>0</v>
      </c>
      <c r="L685" s="148">
        <v>50</v>
      </c>
      <c r="M685" s="148">
        <v>0</v>
      </c>
      <c r="N685" s="148">
        <v>50</v>
      </c>
      <c r="O685" s="148" t="s">
        <v>3847</v>
      </c>
      <c r="P685" s="148" t="s">
        <v>3847</v>
      </c>
      <c r="Q685" s="148" t="s">
        <v>3872</v>
      </c>
      <c r="R685" s="148" t="s">
        <v>3849</v>
      </c>
      <c r="S685" s="148" t="s">
        <v>274</v>
      </c>
      <c r="T685" s="148" t="s">
        <v>296</v>
      </c>
      <c r="U685" s="148" t="s">
        <v>3850</v>
      </c>
      <c r="V685" s="148" t="s">
        <v>3851</v>
      </c>
    </row>
    <row r="686" spans="2:22" x14ac:dyDescent="0.3">
      <c r="B686" s="22">
        <v>679</v>
      </c>
      <c r="C686" s="148" t="s">
        <v>3379</v>
      </c>
      <c r="D686" s="148" t="s">
        <v>3842</v>
      </c>
      <c r="E686" s="148" t="s">
        <v>3873</v>
      </c>
      <c r="F686" s="148" t="s">
        <v>461</v>
      </c>
      <c r="G686" s="148" t="s">
        <v>324</v>
      </c>
      <c r="H686" s="148" t="s">
        <v>3874</v>
      </c>
      <c r="I686" s="148" t="s">
        <v>3846</v>
      </c>
      <c r="J686" s="148" t="s">
        <v>821</v>
      </c>
      <c r="K686" s="148">
        <v>0</v>
      </c>
      <c r="L686" s="148">
        <v>8</v>
      </c>
      <c r="M686" s="148">
        <v>0</v>
      </c>
      <c r="N686" s="148">
        <v>8</v>
      </c>
      <c r="O686" s="148" t="s">
        <v>3847</v>
      </c>
      <c r="P686" s="148" t="s">
        <v>3847</v>
      </c>
      <c r="Q686" s="148" t="s">
        <v>3875</v>
      </c>
      <c r="R686" s="148" t="s">
        <v>3849</v>
      </c>
      <c r="S686" s="148" t="s">
        <v>274</v>
      </c>
      <c r="T686" s="148" t="s">
        <v>296</v>
      </c>
      <c r="U686" s="148" t="s">
        <v>3850</v>
      </c>
      <c r="V686" s="148" t="s">
        <v>3851</v>
      </c>
    </row>
    <row r="687" spans="2:22" x14ac:dyDescent="0.3">
      <c r="B687" s="22">
        <v>680</v>
      </c>
      <c r="C687" s="148" t="s">
        <v>3379</v>
      </c>
      <c r="D687" s="148" t="s">
        <v>3842</v>
      </c>
      <c r="E687" s="148" t="s">
        <v>3876</v>
      </c>
      <c r="F687" s="148" t="s">
        <v>429</v>
      </c>
      <c r="G687" s="148" t="s">
        <v>3760</v>
      </c>
      <c r="H687" s="148" t="s">
        <v>3877</v>
      </c>
      <c r="I687" s="148" t="s">
        <v>3846</v>
      </c>
      <c r="J687" s="148" t="s">
        <v>3592</v>
      </c>
      <c r="K687" s="148">
        <v>0</v>
      </c>
      <c r="L687" s="148">
        <v>80</v>
      </c>
      <c r="M687" s="148">
        <v>0</v>
      </c>
      <c r="N687" s="148">
        <v>80</v>
      </c>
      <c r="O687" s="148" t="s">
        <v>3847</v>
      </c>
      <c r="P687" s="148" t="s">
        <v>3847</v>
      </c>
      <c r="Q687" s="148" t="s">
        <v>3878</v>
      </c>
      <c r="R687" s="148" t="s">
        <v>3849</v>
      </c>
      <c r="S687" s="148" t="s">
        <v>3865</v>
      </c>
      <c r="T687" s="148" t="s">
        <v>296</v>
      </c>
      <c r="U687" s="148" t="s">
        <v>3866</v>
      </c>
      <c r="V687" s="148" t="s">
        <v>3867</v>
      </c>
    </row>
    <row r="688" spans="2:22" x14ac:dyDescent="0.3">
      <c r="B688" s="22">
        <v>681</v>
      </c>
      <c r="C688" s="148" t="s">
        <v>3379</v>
      </c>
      <c r="D688" s="148" t="s">
        <v>3842</v>
      </c>
      <c r="E688" s="148" t="s">
        <v>3879</v>
      </c>
      <c r="F688" s="148" t="s">
        <v>3880</v>
      </c>
      <c r="G688" s="148" t="s">
        <v>3881</v>
      </c>
      <c r="H688" s="148" t="s">
        <v>3845</v>
      </c>
      <c r="I688" s="148" t="s">
        <v>3846</v>
      </c>
      <c r="J688" s="148" t="s">
        <v>3609</v>
      </c>
      <c r="K688" s="148">
        <v>0</v>
      </c>
      <c r="L688" s="148">
        <v>40</v>
      </c>
      <c r="M688" s="148">
        <v>0</v>
      </c>
      <c r="N688" s="148">
        <v>40</v>
      </c>
      <c r="O688" s="148" t="s">
        <v>3847</v>
      </c>
      <c r="P688" s="148" t="s">
        <v>3847</v>
      </c>
      <c r="Q688" s="148" t="s">
        <v>3848</v>
      </c>
      <c r="R688" s="148" t="s">
        <v>3849</v>
      </c>
      <c r="S688" s="148" t="s">
        <v>274</v>
      </c>
      <c r="T688" s="148" t="s">
        <v>296</v>
      </c>
      <c r="U688" s="148" t="s">
        <v>3850</v>
      </c>
      <c r="V688" s="148" t="s">
        <v>3851</v>
      </c>
    </row>
    <row r="689" spans="2:22" x14ac:dyDescent="0.3">
      <c r="B689" s="22">
        <v>682</v>
      </c>
      <c r="C689" s="148" t="s">
        <v>3379</v>
      </c>
      <c r="D689" s="148" t="s">
        <v>3882</v>
      </c>
      <c r="E689" s="148" t="s">
        <v>3883</v>
      </c>
      <c r="F689" s="148" t="s">
        <v>259</v>
      </c>
      <c r="G689" s="148" t="s">
        <v>3692</v>
      </c>
      <c r="H689" s="148" t="s">
        <v>3884</v>
      </c>
      <c r="I689" s="148" t="s">
        <v>235</v>
      </c>
      <c r="J689" s="148" t="s">
        <v>3609</v>
      </c>
      <c r="K689" s="148">
        <v>0</v>
      </c>
      <c r="L689" s="148">
        <v>155</v>
      </c>
      <c r="M689" s="148">
        <v>0</v>
      </c>
      <c r="N689" s="148">
        <v>155</v>
      </c>
      <c r="O689" s="148" t="s">
        <v>3885</v>
      </c>
      <c r="P689" s="148">
        <v>0</v>
      </c>
      <c r="Q689" s="148" t="s">
        <v>3886</v>
      </c>
      <c r="R689" s="148" t="s">
        <v>542</v>
      </c>
      <c r="S689" s="148" t="s">
        <v>296</v>
      </c>
      <c r="T689" s="148" t="s">
        <v>296</v>
      </c>
      <c r="U689" s="148" t="s">
        <v>3887</v>
      </c>
      <c r="V689" s="148" t="s">
        <v>3888</v>
      </c>
    </row>
    <row r="690" spans="2:22" x14ac:dyDescent="0.3">
      <c r="B690" s="22">
        <v>683</v>
      </c>
      <c r="C690" s="148" t="s">
        <v>3379</v>
      </c>
      <c r="D690" s="148" t="s">
        <v>3882</v>
      </c>
      <c r="E690" s="148" t="s">
        <v>3889</v>
      </c>
      <c r="F690" s="148" t="s">
        <v>461</v>
      </c>
      <c r="G690" s="148" t="s">
        <v>3890</v>
      </c>
      <c r="H690" s="148" t="s">
        <v>3891</v>
      </c>
      <c r="I690" s="148" t="s">
        <v>3892</v>
      </c>
      <c r="J690" s="148" t="s">
        <v>3609</v>
      </c>
      <c r="K690" s="148">
        <v>0</v>
      </c>
      <c r="L690" s="148">
        <v>700</v>
      </c>
      <c r="M690" s="148">
        <v>0</v>
      </c>
      <c r="N690" s="148">
        <v>700</v>
      </c>
      <c r="O690" s="148" t="s">
        <v>3893</v>
      </c>
      <c r="P690" s="148" t="s">
        <v>3894</v>
      </c>
      <c r="Q690" s="148" t="s">
        <v>3895</v>
      </c>
      <c r="R690" s="148" t="s">
        <v>542</v>
      </c>
      <c r="S690" s="148" t="s">
        <v>3896</v>
      </c>
      <c r="T690" s="148" t="s">
        <v>296</v>
      </c>
      <c r="U690" s="148" t="s">
        <v>3897</v>
      </c>
      <c r="V690" s="148" t="s">
        <v>3898</v>
      </c>
    </row>
    <row r="691" spans="2:22" x14ac:dyDescent="0.3">
      <c r="B691" s="22">
        <v>684</v>
      </c>
      <c r="C691" s="148" t="s">
        <v>3379</v>
      </c>
      <c r="D691" s="148" t="s">
        <v>3899</v>
      </c>
      <c r="E691" s="148" t="s">
        <v>3900</v>
      </c>
      <c r="F691" s="148" t="s">
        <v>461</v>
      </c>
      <c r="G691" s="148" t="s">
        <v>3901</v>
      </c>
      <c r="H691" s="148" t="s">
        <v>3902</v>
      </c>
      <c r="I691" s="148" t="s">
        <v>255</v>
      </c>
      <c r="J691" s="148">
        <v>2002</v>
      </c>
      <c r="K691" s="148">
        <v>0</v>
      </c>
      <c r="L691" s="148">
        <v>25</v>
      </c>
      <c r="M691" s="148">
        <v>0</v>
      </c>
      <c r="N691" s="148">
        <v>25</v>
      </c>
      <c r="O691" s="148">
        <v>0</v>
      </c>
      <c r="P691" s="148">
        <v>0</v>
      </c>
      <c r="Q691" s="148" t="s">
        <v>3473</v>
      </c>
      <c r="R691" s="148" t="s">
        <v>296</v>
      </c>
      <c r="S691" s="148" t="s">
        <v>296</v>
      </c>
      <c r="T691" s="148" t="s">
        <v>296</v>
      </c>
      <c r="U691" s="148" t="s">
        <v>3903</v>
      </c>
      <c r="V691" s="148" t="s">
        <v>3904</v>
      </c>
    </row>
    <row r="692" spans="2:22" x14ac:dyDescent="0.3">
      <c r="B692" s="22">
        <v>685</v>
      </c>
      <c r="C692" s="148" t="s">
        <v>3379</v>
      </c>
      <c r="D692" s="148" t="s">
        <v>3899</v>
      </c>
      <c r="E692" s="148" t="s">
        <v>3905</v>
      </c>
      <c r="F692" s="148" t="s">
        <v>461</v>
      </c>
      <c r="G692" s="148" t="s">
        <v>3453</v>
      </c>
      <c r="H692" s="148" t="s">
        <v>3902</v>
      </c>
      <c r="I692" s="148" t="s">
        <v>235</v>
      </c>
      <c r="J692" s="148">
        <v>1996</v>
      </c>
      <c r="K692" s="148">
        <v>0</v>
      </c>
      <c r="L692" s="148">
        <v>35</v>
      </c>
      <c r="M692" s="148">
        <v>0</v>
      </c>
      <c r="N692" s="148">
        <v>35</v>
      </c>
      <c r="O692" s="148">
        <v>0</v>
      </c>
      <c r="P692" s="148">
        <v>0</v>
      </c>
      <c r="Q692" s="148" t="s">
        <v>3473</v>
      </c>
      <c r="R692" s="148" t="s">
        <v>296</v>
      </c>
      <c r="S692" s="148" t="s">
        <v>296</v>
      </c>
      <c r="T692" s="148" t="s">
        <v>296</v>
      </c>
      <c r="U692" s="148" t="s">
        <v>3903</v>
      </c>
      <c r="V692" s="148" t="s">
        <v>3904</v>
      </c>
    </row>
    <row r="693" spans="2:22" x14ac:dyDescent="0.3">
      <c r="B693" s="22">
        <v>686</v>
      </c>
      <c r="C693" s="148" t="s">
        <v>3379</v>
      </c>
      <c r="D693" s="148" t="s">
        <v>3899</v>
      </c>
      <c r="E693" s="148" t="s">
        <v>3906</v>
      </c>
      <c r="F693" s="148" t="s">
        <v>461</v>
      </c>
      <c r="G693" s="148" t="s">
        <v>3466</v>
      </c>
      <c r="H693" s="148" t="s">
        <v>3907</v>
      </c>
      <c r="I693" s="148" t="s">
        <v>235</v>
      </c>
      <c r="J693" s="148">
        <v>1996</v>
      </c>
      <c r="K693" s="148">
        <v>0</v>
      </c>
      <c r="L693" s="148">
        <v>45</v>
      </c>
      <c r="M693" s="148">
        <v>0</v>
      </c>
      <c r="N693" s="148">
        <v>45</v>
      </c>
      <c r="O693" s="148">
        <v>0</v>
      </c>
      <c r="P693" s="148">
        <v>0</v>
      </c>
      <c r="Q693" s="148" t="s">
        <v>3473</v>
      </c>
      <c r="R693" s="148" t="s">
        <v>296</v>
      </c>
      <c r="S693" s="148" t="s">
        <v>296</v>
      </c>
      <c r="T693" s="148" t="s">
        <v>296</v>
      </c>
      <c r="U693" s="148" t="s">
        <v>3903</v>
      </c>
      <c r="V693" s="148" t="s">
        <v>3904</v>
      </c>
    </row>
    <row r="694" spans="2:22" x14ac:dyDescent="0.3">
      <c r="B694" s="22">
        <v>687</v>
      </c>
      <c r="C694" s="148" t="s">
        <v>3379</v>
      </c>
      <c r="D694" s="148" t="s">
        <v>3899</v>
      </c>
      <c r="E694" s="148" t="s">
        <v>3908</v>
      </c>
      <c r="F694" s="148" t="s">
        <v>259</v>
      </c>
      <c r="G694" s="148" t="s">
        <v>3909</v>
      </c>
      <c r="H694" s="148" t="s">
        <v>3910</v>
      </c>
      <c r="I694" s="148" t="s">
        <v>235</v>
      </c>
      <c r="J694" s="148">
        <v>2014</v>
      </c>
      <c r="K694" s="148">
        <v>0</v>
      </c>
      <c r="L694" s="148">
        <v>600</v>
      </c>
      <c r="M694" s="148">
        <v>0</v>
      </c>
      <c r="N694" s="148">
        <v>600</v>
      </c>
      <c r="O694" s="148">
        <v>0</v>
      </c>
      <c r="P694" s="148">
        <v>0</v>
      </c>
      <c r="Q694" s="148" t="s">
        <v>3911</v>
      </c>
      <c r="R694" s="148" t="s">
        <v>247</v>
      </c>
      <c r="S694" s="148" t="s">
        <v>3912</v>
      </c>
      <c r="T694" s="148" t="s">
        <v>296</v>
      </c>
      <c r="U694" s="148" t="s">
        <v>3903</v>
      </c>
      <c r="V694" s="148" t="s">
        <v>3904</v>
      </c>
    </row>
    <row r="695" spans="2:22" x14ac:dyDescent="0.3">
      <c r="B695" s="22">
        <v>688</v>
      </c>
      <c r="C695" s="148" t="s">
        <v>3379</v>
      </c>
      <c r="D695" s="148" t="s">
        <v>3899</v>
      </c>
      <c r="E695" s="148" t="s">
        <v>3913</v>
      </c>
      <c r="F695" s="148" t="s">
        <v>461</v>
      </c>
      <c r="G695" s="148" t="s">
        <v>3914</v>
      </c>
      <c r="H695" s="148" t="s">
        <v>3910</v>
      </c>
      <c r="I695" s="148" t="s">
        <v>235</v>
      </c>
      <c r="J695" s="148">
        <v>2022</v>
      </c>
      <c r="K695" s="148">
        <v>0</v>
      </c>
      <c r="L695" s="148">
        <v>200</v>
      </c>
      <c r="M695" s="148">
        <v>0</v>
      </c>
      <c r="N695" s="148">
        <v>200</v>
      </c>
      <c r="O695" s="148">
        <v>0</v>
      </c>
      <c r="P695" s="148">
        <v>0</v>
      </c>
      <c r="Q695" s="148" t="s">
        <v>3911</v>
      </c>
      <c r="R695" s="148" t="s">
        <v>247</v>
      </c>
      <c r="S695" s="148" t="s">
        <v>3912</v>
      </c>
      <c r="T695" s="148" t="s">
        <v>296</v>
      </c>
      <c r="U695" s="148" t="s">
        <v>3903</v>
      </c>
      <c r="V695" s="148" t="s">
        <v>3904</v>
      </c>
    </row>
    <row r="696" spans="2:22" x14ac:dyDescent="0.3">
      <c r="B696" s="22">
        <v>689</v>
      </c>
      <c r="C696" s="148" t="s">
        <v>3379</v>
      </c>
      <c r="D696" s="148" t="s">
        <v>3915</v>
      </c>
      <c r="E696" s="148" t="s">
        <v>3916</v>
      </c>
      <c r="F696" s="148" t="s">
        <v>259</v>
      </c>
      <c r="G696" s="148" t="s">
        <v>3917</v>
      </c>
      <c r="H696" s="148" t="s">
        <v>3918</v>
      </c>
      <c r="I696" s="148" t="s">
        <v>292</v>
      </c>
      <c r="J696" s="148" t="s">
        <v>3919</v>
      </c>
      <c r="K696" s="148">
        <v>0</v>
      </c>
      <c r="L696" s="148">
        <v>290</v>
      </c>
      <c r="M696" s="148">
        <v>0</v>
      </c>
      <c r="N696" s="148">
        <v>290</v>
      </c>
      <c r="O696" s="148" t="s">
        <v>3920</v>
      </c>
      <c r="P696" s="148" t="s">
        <v>296</v>
      </c>
      <c r="Q696" s="148" t="s">
        <v>274</v>
      </c>
      <c r="R696" s="148"/>
      <c r="S696" s="148" t="s">
        <v>3921</v>
      </c>
      <c r="T696" s="148" t="s">
        <v>296</v>
      </c>
      <c r="U696" s="148" t="s">
        <v>3922</v>
      </c>
      <c r="V696" s="148" t="s">
        <v>3923</v>
      </c>
    </row>
    <row r="697" spans="2:22" x14ac:dyDescent="0.3">
      <c r="B697" s="22">
        <v>690</v>
      </c>
      <c r="C697" s="148" t="s">
        <v>3379</v>
      </c>
      <c r="D697" s="148" t="s">
        <v>3915</v>
      </c>
      <c r="E697" s="148" t="s">
        <v>3924</v>
      </c>
      <c r="F697" s="148" t="s">
        <v>243</v>
      </c>
      <c r="G697" s="148" t="s">
        <v>3925</v>
      </c>
      <c r="H697" s="148" t="s">
        <v>3926</v>
      </c>
      <c r="I697" s="148" t="s">
        <v>292</v>
      </c>
      <c r="J697" s="148" t="s">
        <v>1435</v>
      </c>
      <c r="K697" s="148">
        <v>0</v>
      </c>
      <c r="L697" s="148">
        <v>50</v>
      </c>
      <c r="M697" s="148">
        <v>0</v>
      </c>
      <c r="N697" s="148">
        <v>50</v>
      </c>
      <c r="O697" s="148" t="s">
        <v>296</v>
      </c>
      <c r="P697" s="148" t="s">
        <v>296</v>
      </c>
      <c r="Q697" s="148" t="s">
        <v>274</v>
      </c>
      <c r="R697" s="148"/>
      <c r="S697" s="148" t="s">
        <v>3927</v>
      </c>
      <c r="T697" s="148" t="s">
        <v>296</v>
      </c>
      <c r="U697" s="148" t="s">
        <v>3922</v>
      </c>
      <c r="V697" s="148" t="s">
        <v>3923</v>
      </c>
    </row>
    <row r="698" spans="2:22" x14ac:dyDescent="0.3">
      <c r="B698" s="22">
        <v>691</v>
      </c>
      <c r="C698" s="148" t="s">
        <v>3379</v>
      </c>
      <c r="D698" s="148" t="s">
        <v>3915</v>
      </c>
      <c r="E698" s="148" t="s">
        <v>3928</v>
      </c>
      <c r="F698" s="148" t="s">
        <v>429</v>
      </c>
      <c r="G698" s="148" t="s">
        <v>3453</v>
      </c>
      <c r="H698" s="148" t="s">
        <v>3929</v>
      </c>
      <c r="I698" s="148" t="s">
        <v>292</v>
      </c>
      <c r="J698" s="148" t="s">
        <v>1435</v>
      </c>
      <c r="K698" s="148">
        <v>0</v>
      </c>
      <c r="L698" s="148">
        <v>40</v>
      </c>
      <c r="M698" s="148">
        <v>0</v>
      </c>
      <c r="N698" s="148">
        <v>40</v>
      </c>
      <c r="O698" s="148" t="s">
        <v>366</v>
      </c>
      <c r="P698" s="148" t="s">
        <v>296</v>
      </c>
      <c r="Q698" s="148" t="s">
        <v>274</v>
      </c>
      <c r="R698" s="148"/>
      <c r="S698" s="148" t="s">
        <v>3921</v>
      </c>
      <c r="T698" s="148" t="s">
        <v>296</v>
      </c>
      <c r="U698" s="148" t="s">
        <v>3930</v>
      </c>
      <c r="V698" s="149" t="s">
        <v>3931</v>
      </c>
    </row>
    <row r="699" spans="2:22" x14ac:dyDescent="0.3">
      <c r="B699" s="22">
        <v>692</v>
      </c>
      <c r="C699" s="148" t="s">
        <v>3379</v>
      </c>
      <c r="D699" s="148" t="s">
        <v>3915</v>
      </c>
      <c r="E699" s="148" t="s">
        <v>3932</v>
      </c>
      <c r="F699" s="148" t="s">
        <v>3933</v>
      </c>
      <c r="G699" s="148" t="s">
        <v>3934</v>
      </c>
      <c r="H699" s="148" t="s">
        <v>3935</v>
      </c>
      <c r="I699" s="148" t="s">
        <v>292</v>
      </c>
      <c r="J699" s="148" t="s">
        <v>3576</v>
      </c>
      <c r="K699" s="148">
        <v>0</v>
      </c>
      <c r="L699" s="148">
        <v>290</v>
      </c>
      <c r="M699" s="148">
        <v>0</v>
      </c>
      <c r="N699" s="148">
        <v>290</v>
      </c>
      <c r="O699" s="148" t="s">
        <v>3936</v>
      </c>
      <c r="P699" s="148" t="s">
        <v>296</v>
      </c>
      <c r="Q699" s="148" t="s">
        <v>274</v>
      </c>
      <c r="R699" s="148"/>
      <c r="S699" s="148" t="s">
        <v>3921</v>
      </c>
      <c r="T699" s="148" t="s">
        <v>296</v>
      </c>
      <c r="U699" s="148" t="s">
        <v>3922</v>
      </c>
      <c r="V699" s="148" t="s">
        <v>3923</v>
      </c>
    </row>
    <row r="700" spans="2:22" x14ac:dyDescent="0.3">
      <c r="B700" s="22">
        <v>693</v>
      </c>
      <c r="C700" s="148" t="s">
        <v>3379</v>
      </c>
      <c r="D700" s="148" t="s">
        <v>3915</v>
      </c>
      <c r="E700" s="148" t="s">
        <v>3937</v>
      </c>
      <c r="F700" s="148" t="s">
        <v>461</v>
      </c>
      <c r="G700" s="148" t="s">
        <v>1103</v>
      </c>
      <c r="H700" s="148" t="s">
        <v>3938</v>
      </c>
      <c r="I700" s="148" t="s">
        <v>292</v>
      </c>
      <c r="J700" s="148" t="s">
        <v>3939</v>
      </c>
      <c r="K700" s="148">
        <v>0</v>
      </c>
      <c r="L700" s="148">
        <v>250</v>
      </c>
      <c r="M700" s="148">
        <v>0</v>
      </c>
      <c r="N700" s="148">
        <v>250</v>
      </c>
      <c r="O700" s="148" t="s">
        <v>3436</v>
      </c>
      <c r="P700" s="148" t="s">
        <v>296</v>
      </c>
      <c r="Q700" s="148" t="s">
        <v>274</v>
      </c>
      <c r="R700" s="148"/>
      <c r="S700" s="148" t="s">
        <v>3921</v>
      </c>
      <c r="T700" s="148" t="s">
        <v>296</v>
      </c>
      <c r="U700" s="148" t="s">
        <v>3922</v>
      </c>
      <c r="V700" s="148" t="s">
        <v>3923</v>
      </c>
    </row>
    <row r="701" spans="2:22" x14ac:dyDescent="0.3">
      <c r="B701" s="22">
        <v>694</v>
      </c>
      <c r="C701" s="148" t="s">
        <v>11</v>
      </c>
      <c r="D701" s="148" t="s">
        <v>3915</v>
      </c>
      <c r="E701" s="148" t="s">
        <v>3940</v>
      </c>
      <c r="F701" s="148" t="s">
        <v>259</v>
      </c>
      <c r="G701" s="148" t="s">
        <v>3941</v>
      </c>
      <c r="H701" s="148" t="s">
        <v>3942</v>
      </c>
      <c r="I701" s="148" t="s">
        <v>292</v>
      </c>
      <c r="J701" s="148" t="s">
        <v>365</v>
      </c>
      <c r="K701" s="148">
        <v>0</v>
      </c>
      <c r="L701" s="148">
        <v>170</v>
      </c>
      <c r="M701" s="148">
        <v>0</v>
      </c>
      <c r="N701" s="148">
        <v>170</v>
      </c>
      <c r="O701" s="148" t="s">
        <v>3943</v>
      </c>
      <c r="P701" s="148" t="s">
        <v>296</v>
      </c>
      <c r="Q701" s="148" t="s">
        <v>274</v>
      </c>
      <c r="R701" s="148"/>
      <c r="S701" s="148" t="s">
        <v>3921</v>
      </c>
      <c r="T701" s="148" t="s">
        <v>296</v>
      </c>
      <c r="U701" s="148" t="s">
        <v>3922</v>
      </c>
      <c r="V701" s="148" t="s">
        <v>3923</v>
      </c>
    </row>
    <row r="702" spans="2:22" x14ac:dyDescent="0.3">
      <c r="B702" s="22">
        <v>695</v>
      </c>
      <c r="C702" s="148" t="s">
        <v>3379</v>
      </c>
      <c r="D702" s="148" t="s">
        <v>3944</v>
      </c>
      <c r="E702" s="148" t="s">
        <v>3945</v>
      </c>
      <c r="F702" s="148" t="s">
        <v>3946</v>
      </c>
      <c r="G702" s="148" t="s">
        <v>3947</v>
      </c>
      <c r="H702" s="148" t="s">
        <v>3948</v>
      </c>
      <c r="I702" s="148" t="s">
        <v>235</v>
      </c>
      <c r="J702" s="148">
        <v>2003</v>
      </c>
      <c r="K702" s="148">
        <v>0</v>
      </c>
      <c r="L702" s="148">
        <v>60</v>
      </c>
      <c r="M702" s="148">
        <v>0</v>
      </c>
      <c r="N702" s="148">
        <v>60</v>
      </c>
      <c r="O702" s="148" t="s">
        <v>296</v>
      </c>
      <c r="P702" s="148" t="s">
        <v>296</v>
      </c>
      <c r="Q702" s="148" t="s">
        <v>296</v>
      </c>
      <c r="R702" s="148" t="s">
        <v>296</v>
      </c>
      <c r="S702" s="148" t="s">
        <v>296</v>
      </c>
      <c r="T702" s="148" t="s">
        <v>296</v>
      </c>
      <c r="U702" s="148" t="s">
        <v>3949</v>
      </c>
      <c r="V702" s="148" t="s">
        <v>3950</v>
      </c>
    </row>
    <row r="703" spans="2:22" x14ac:dyDescent="0.3">
      <c r="B703" s="22">
        <v>696</v>
      </c>
      <c r="C703" s="148" t="s">
        <v>3379</v>
      </c>
      <c r="D703" s="148" t="s">
        <v>3944</v>
      </c>
      <c r="E703" s="148" t="s">
        <v>3951</v>
      </c>
      <c r="F703" s="148" t="s">
        <v>3952</v>
      </c>
      <c r="G703" s="148" t="s">
        <v>3953</v>
      </c>
      <c r="H703" s="148" t="s">
        <v>3954</v>
      </c>
      <c r="I703" s="148" t="s">
        <v>235</v>
      </c>
      <c r="J703" s="148">
        <v>2002</v>
      </c>
      <c r="K703" s="148">
        <v>0</v>
      </c>
      <c r="L703" s="148">
        <v>80</v>
      </c>
      <c r="M703" s="148">
        <v>20</v>
      </c>
      <c r="N703" s="148">
        <v>100</v>
      </c>
      <c r="O703" s="148" t="s">
        <v>296</v>
      </c>
      <c r="P703" s="148" t="s">
        <v>296</v>
      </c>
      <c r="Q703" s="148" t="s">
        <v>3955</v>
      </c>
      <c r="R703" s="148" t="s">
        <v>3395</v>
      </c>
      <c r="S703" s="148" t="s">
        <v>3956</v>
      </c>
      <c r="T703" s="148" t="s">
        <v>296</v>
      </c>
      <c r="U703" s="148" t="s">
        <v>312</v>
      </c>
      <c r="V703" s="148" t="s">
        <v>3957</v>
      </c>
    </row>
    <row r="704" spans="2:22" x14ac:dyDescent="0.3">
      <c r="B704" s="22">
        <v>697</v>
      </c>
      <c r="C704" s="148" t="s">
        <v>3379</v>
      </c>
      <c r="D704" s="148" t="s">
        <v>3944</v>
      </c>
      <c r="E704" s="148" t="s">
        <v>3958</v>
      </c>
      <c r="F704" s="148" t="s">
        <v>461</v>
      </c>
      <c r="G704" s="148" t="s">
        <v>3692</v>
      </c>
      <c r="H704" s="148" t="s">
        <v>3959</v>
      </c>
      <c r="I704" s="148" t="s">
        <v>235</v>
      </c>
      <c r="J704" s="148">
        <v>2010</v>
      </c>
      <c r="K704" s="148">
        <v>0</v>
      </c>
      <c r="L704" s="148">
        <v>40</v>
      </c>
      <c r="M704" s="148">
        <v>40</v>
      </c>
      <c r="N704" s="148">
        <v>80</v>
      </c>
      <c r="O704" s="22" t="s">
        <v>846</v>
      </c>
      <c r="P704" s="148" t="s">
        <v>296</v>
      </c>
      <c r="Q704" s="148" t="s">
        <v>296</v>
      </c>
      <c r="R704" s="148" t="s">
        <v>296</v>
      </c>
      <c r="S704" s="148" t="s">
        <v>296</v>
      </c>
      <c r="T704" s="148" t="s">
        <v>296</v>
      </c>
      <c r="U704" s="148" t="s">
        <v>3960</v>
      </c>
      <c r="V704" s="148" t="s">
        <v>3961</v>
      </c>
    </row>
    <row r="705" spans="2:22" x14ac:dyDescent="0.3">
      <c r="B705" s="22">
        <v>698</v>
      </c>
      <c r="C705" s="148" t="s">
        <v>3379</v>
      </c>
      <c r="D705" s="148" t="s">
        <v>3962</v>
      </c>
      <c r="E705" s="148" t="s">
        <v>3963</v>
      </c>
      <c r="F705" s="148" t="s">
        <v>461</v>
      </c>
      <c r="G705" s="148" t="s">
        <v>334</v>
      </c>
      <c r="H705" s="148" t="s">
        <v>3964</v>
      </c>
      <c r="I705" s="148" t="s">
        <v>235</v>
      </c>
      <c r="J705" s="148">
        <v>2000</v>
      </c>
      <c r="K705" s="148">
        <v>0</v>
      </c>
      <c r="L705" s="148">
        <v>40</v>
      </c>
      <c r="M705" s="148">
        <v>40</v>
      </c>
      <c r="N705" s="148">
        <v>80</v>
      </c>
      <c r="O705" s="8" t="s">
        <v>846</v>
      </c>
      <c r="P705" s="148" t="s">
        <v>296</v>
      </c>
      <c r="Q705" s="148" t="s">
        <v>296</v>
      </c>
      <c r="R705" s="148" t="s">
        <v>296</v>
      </c>
      <c r="S705" s="148" t="s">
        <v>296</v>
      </c>
      <c r="T705" s="148" t="s">
        <v>296</v>
      </c>
      <c r="U705" s="148" t="s">
        <v>3960</v>
      </c>
      <c r="V705" s="148" t="s">
        <v>3961</v>
      </c>
    </row>
    <row r="706" spans="2:22" x14ac:dyDescent="0.3">
      <c r="B706" s="22">
        <v>699</v>
      </c>
      <c r="C706" s="148" t="s">
        <v>3379</v>
      </c>
      <c r="D706" s="148" t="s">
        <v>3944</v>
      </c>
      <c r="E706" s="148" t="s">
        <v>3965</v>
      </c>
      <c r="F706" s="148" t="s">
        <v>232</v>
      </c>
      <c r="G706" s="148" t="s">
        <v>3966</v>
      </c>
      <c r="H706" s="148" t="s">
        <v>3967</v>
      </c>
      <c r="I706" s="148" t="s">
        <v>235</v>
      </c>
      <c r="J706" s="148">
        <v>2013</v>
      </c>
      <c r="K706" s="148">
        <v>0</v>
      </c>
      <c r="L706" s="148">
        <v>98</v>
      </c>
      <c r="M706" s="148">
        <v>0</v>
      </c>
      <c r="N706" s="148">
        <v>98</v>
      </c>
      <c r="O706" s="148">
        <v>8546</v>
      </c>
      <c r="P706" s="148" t="s">
        <v>296</v>
      </c>
      <c r="Q706" s="148" t="s">
        <v>296</v>
      </c>
      <c r="R706" s="148" t="s">
        <v>296</v>
      </c>
      <c r="S706" s="148" t="s">
        <v>296</v>
      </c>
      <c r="T706" s="148" t="s">
        <v>296</v>
      </c>
      <c r="U706" s="148" t="s">
        <v>3968</v>
      </c>
      <c r="V706" s="148" t="s">
        <v>3969</v>
      </c>
    </row>
    <row r="707" spans="2:22" x14ac:dyDescent="0.3">
      <c r="B707" s="22">
        <v>700</v>
      </c>
      <c r="C707" s="8" t="s">
        <v>8</v>
      </c>
      <c r="D707" s="8" t="s">
        <v>3970</v>
      </c>
      <c r="E707" s="8" t="s">
        <v>3971</v>
      </c>
      <c r="F707" s="8" t="s">
        <v>1654</v>
      </c>
      <c r="G707" s="8" t="s">
        <v>614</v>
      </c>
      <c r="H707" s="8" t="s">
        <v>3972</v>
      </c>
      <c r="I707" s="8" t="s">
        <v>67</v>
      </c>
      <c r="J707" s="8">
        <v>1964</v>
      </c>
      <c r="K707" s="31">
        <v>30</v>
      </c>
      <c r="L707" s="31">
        <v>1530</v>
      </c>
      <c r="M707" s="31">
        <v>0</v>
      </c>
      <c r="N707" s="31">
        <f t="shared" ref="N707:N738" si="14">SUM(K707:M707)</f>
        <v>1560</v>
      </c>
      <c r="O707" s="10" t="s">
        <v>3973</v>
      </c>
      <c r="P707" s="24">
        <v>0</v>
      </c>
      <c r="Q707" s="8" t="s">
        <v>3974</v>
      </c>
      <c r="R707" s="8" t="s">
        <v>42</v>
      </c>
      <c r="S707" s="8" t="s">
        <v>3975</v>
      </c>
      <c r="T707" s="8" t="s">
        <v>43</v>
      </c>
      <c r="U707" s="8" t="s">
        <v>3976</v>
      </c>
      <c r="V707" s="8" t="s">
        <v>3977</v>
      </c>
    </row>
    <row r="708" spans="2:22" x14ac:dyDescent="0.3">
      <c r="B708" s="22">
        <v>701</v>
      </c>
      <c r="C708" s="8" t="s">
        <v>8</v>
      </c>
      <c r="D708" s="8" t="s">
        <v>3970</v>
      </c>
      <c r="E708" s="8" t="s">
        <v>3978</v>
      </c>
      <c r="F708" s="8" t="s">
        <v>1654</v>
      </c>
      <c r="G708" s="8" t="s">
        <v>3979</v>
      </c>
      <c r="H708" s="8" t="s">
        <v>3972</v>
      </c>
      <c r="I708" s="8" t="s">
        <v>51</v>
      </c>
      <c r="J708" s="8">
        <v>2016</v>
      </c>
      <c r="K708" s="31">
        <v>0</v>
      </c>
      <c r="L708" s="31">
        <v>1270</v>
      </c>
      <c r="M708" s="31">
        <v>0</v>
      </c>
      <c r="N708" s="31">
        <f t="shared" si="14"/>
        <v>1270</v>
      </c>
      <c r="O708" s="15">
        <v>0</v>
      </c>
      <c r="P708" s="24">
        <v>0</v>
      </c>
      <c r="Q708" s="8" t="s">
        <v>3974</v>
      </c>
      <c r="R708" s="8" t="s">
        <v>42</v>
      </c>
      <c r="S708" s="8" t="s">
        <v>3975</v>
      </c>
      <c r="T708" s="8"/>
      <c r="U708" s="8" t="s">
        <v>3980</v>
      </c>
      <c r="V708" s="8" t="s">
        <v>3981</v>
      </c>
    </row>
    <row r="709" spans="2:22" x14ac:dyDescent="0.3">
      <c r="B709" s="22">
        <v>702</v>
      </c>
      <c r="C709" s="8" t="s">
        <v>8</v>
      </c>
      <c r="D709" s="8" t="s">
        <v>3970</v>
      </c>
      <c r="E709" s="8" t="s">
        <v>3982</v>
      </c>
      <c r="F709" s="8" t="s">
        <v>1654</v>
      </c>
      <c r="G709" s="8" t="s">
        <v>3983</v>
      </c>
      <c r="H709" s="8" t="s">
        <v>3972</v>
      </c>
      <c r="I709" s="8" t="s">
        <v>67</v>
      </c>
      <c r="J709" s="8">
        <v>2021</v>
      </c>
      <c r="K709" s="31">
        <v>1500</v>
      </c>
      <c r="L709" s="31">
        <v>0</v>
      </c>
      <c r="M709" s="31">
        <v>0</v>
      </c>
      <c r="N709" s="31">
        <f t="shared" si="14"/>
        <v>1500</v>
      </c>
      <c r="O709" s="10" t="s">
        <v>3984</v>
      </c>
      <c r="P709" s="24">
        <v>0</v>
      </c>
      <c r="Q709" s="8" t="s">
        <v>3974</v>
      </c>
      <c r="R709" s="8" t="s">
        <v>42</v>
      </c>
      <c r="S709" s="8" t="s">
        <v>3975</v>
      </c>
      <c r="T709" s="8" t="s">
        <v>1418</v>
      </c>
      <c r="U709" s="8" t="s">
        <v>3976</v>
      </c>
      <c r="V709" s="8" t="s">
        <v>3977</v>
      </c>
    </row>
    <row r="710" spans="2:22" x14ac:dyDescent="0.3">
      <c r="B710" s="22">
        <v>703</v>
      </c>
      <c r="C710" s="8" t="s">
        <v>8</v>
      </c>
      <c r="D710" s="8" t="s">
        <v>3970</v>
      </c>
      <c r="E710" s="8" t="s">
        <v>3985</v>
      </c>
      <c r="F710" s="8" t="s">
        <v>1654</v>
      </c>
      <c r="G710" s="8" t="s">
        <v>3986</v>
      </c>
      <c r="H710" s="8" t="s">
        <v>3972</v>
      </c>
      <c r="I710" s="8" t="s">
        <v>51</v>
      </c>
      <c r="J710" s="8">
        <v>2021</v>
      </c>
      <c r="K710" s="31">
        <v>1000</v>
      </c>
      <c r="L710" s="31">
        <v>1000</v>
      </c>
      <c r="M710" s="31">
        <v>0</v>
      </c>
      <c r="N710" s="31">
        <f t="shared" si="14"/>
        <v>2000</v>
      </c>
      <c r="O710" s="10" t="s">
        <v>3987</v>
      </c>
      <c r="P710" s="24">
        <v>0</v>
      </c>
      <c r="Q710" s="8" t="s">
        <v>3974</v>
      </c>
      <c r="R710" s="8" t="s">
        <v>42</v>
      </c>
      <c r="S710" s="8" t="s">
        <v>3975</v>
      </c>
      <c r="T710" s="8" t="s">
        <v>1418</v>
      </c>
      <c r="U710" s="8" t="s">
        <v>3980</v>
      </c>
      <c r="V710" s="8" t="s">
        <v>3981</v>
      </c>
    </row>
    <row r="711" spans="2:22" x14ac:dyDescent="0.3">
      <c r="B711" s="22">
        <v>704</v>
      </c>
      <c r="C711" s="8" t="s">
        <v>8</v>
      </c>
      <c r="D711" s="8" t="s">
        <v>3970</v>
      </c>
      <c r="E711" s="8" t="s">
        <v>3988</v>
      </c>
      <c r="F711" s="8" t="s">
        <v>55</v>
      </c>
      <c r="G711" s="8" t="s">
        <v>3989</v>
      </c>
      <c r="H711" s="8" t="s">
        <v>3990</v>
      </c>
      <c r="I711" s="8" t="s">
        <v>51</v>
      </c>
      <c r="J711" s="8">
        <v>1996</v>
      </c>
      <c r="K711" s="31">
        <v>0</v>
      </c>
      <c r="L711" s="31">
        <v>511</v>
      </c>
      <c r="M711" s="31">
        <v>0</v>
      </c>
      <c r="N711" s="31">
        <f t="shared" si="14"/>
        <v>511</v>
      </c>
      <c r="O711" s="24">
        <v>0</v>
      </c>
      <c r="P711" s="24">
        <v>0</v>
      </c>
      <c r="Q711" s="8" t="s">
        <v>3974</v>
      </c>
      <c r="R711" s="8" t="s">
        <v>42</v>
      </c>
      <c r="S711" s="8" t="s">
        <v>3975</v>
      </c>
      <c r="T711" s="8"/>
      <c r="U711" s="8" t="s">
        <v>3991</v>
      </c>
      <c r="V711" s="8" t="s">
        <v>3992</v>
      </c>
    </row>
    <row r="712" spans="2:22" x14ac:dyDescent="0.3">
      <c r="B712" s="22">
        <v>705</v>
      </c>
      <c r="C712" s="8" t="s">
        <v>8</v>
      </c>
      <c r="D712" s="8" t="s">
        <v>3970</v>
      </c>
      <c r="E712" s="8" t="s">
        <v>3993</v>
      </c>
      <c r="F712" s="8" t="s">
        <v>55</v>
      </c>
      <c r="G712" s="8" t="s">
        <v>3994</v>
      </c>
      <c r="H712" s="8" t="s">
        <v>3995</v>
      </c>
      <c r="I712" s="8" t="s">
        <v>51</v>
      </c>
      <c r="J712" s="8">
        <v>2015</v>
      </c>
      <c r="K712" s="31">
        <v>0</v>
      </c>
      <c r="L712" s="31">
        <v>234</v>
      </c>
      <c r="M712" s="31">
        <v>0</v>
      </c>
      <c r="N712" s="31">
        <f t="shared" si="14"/>
        <v>234</v>
      </c>
      <c r="O712" s="24" t="s">
        <v>3996</v>
      </c>
      <c r="P712" s="24">
        <v>0</v>
      </c>
      <c r="Q712" s="8"/>
      <c r="R712" s="8"/>
      <c r="S712" s="8"/>
      <c r="T712" s="8"/>
      <c r="U712" s="8" t="s">
        <v>3991</v>
      </c>
      <c r="V712" s="8" t="s">
        <v>3992</v>
      </c>
    </row>
    <row r="713" spans="2:22" x14ac:dyDescent="0.3">
      <c r="B713" s="22">
        <v>706</v>
      </c>
      <c r="C713" s="8" t="s">
        <v>8</v>
      </c>
      <c r="D713" s="8" t="s">
        <v>3970</v>
      </c>
      <c r="E713" s="8" t="s">
        <v>3997</v>
      </c>
      <c r="F713" s="8" t="s">
        <v>55</v>
      </c>
      <c r="G713" s="8" t="s">
        <v>3998</v>
      </c>
      <c r="H713" s="8" t="s">
        <v>3999</v>
      </c>
      <c r="I713" s="8" t="s">
        <v>51</v>
      </c>
      <c r="J713" s="8">
        <v>2014</v>
      </c>
      <c r="K713" s="31">
        <v>0</v>
      </c>
      <c r="L713" s="31">
        <v>153</v>
      </c>
      <c r="M713" s="31">
        <v>0</v>
      </c>
      <c r="N713" s="31">
        <f t="shared" si="14"/>
        <v>153</v>
      </c>
      <c r="O713" s="24">
        <v>0</v>
      </c>
      <c r="P713" s="24">
        <v>0</v>
      </c>
      <c r="Q713" s="8" t="s">
        <v>3974</v>
      </c>
      <c r="R713" s="8" t="s">
        <v>42</v>
      </c>
      <c r="S713" s="8" t="s">
        <v>3975</v>
      </c>
      <c r="T713" s="8"/>
      <c r="U713" s="8" t="s">
        <v>3991</v>
      </c>
      <c r="V713" s="8" t="s">
        <v>3992</v>
      </c>
    </row>
    <row r="714" spans="2:22" x14ac:dyDescent="0.3">
      <c r="B714" s="22">
        <v>707</v>
      </c>
      <c r="C714" s="8" t="s">
        <v>8</v>
      </c>
      <c r="D714" s="8" t="s">
        <v>3970</v>
      </c>
      <c r="E714" s="8" t="s">
        <v>4000</v>
      </c>
      <c r="F714" s="8" t="s">
        <v>1243</v>
      </c>
      <c r="G714" s="8" t="s">
        <v>560</v>
      </c>
      <c r="H714" s="8" t="s">
        <v>4001</v>
      </c>
      <c r="I714" s="8" t="s">
        <v>51</v>
      </c>
      <c r="J714" s="8">
        <v>1995</v>
      </c>
      <c r="K714" s="31">
        <v>0</v>
      </c>
      <c r="L714" s="31">
        <v>150</v>
      </c>
      <c r="M714" s="31">
        <v>0</v>
      </c>
      <c r="N714" s="31">
        <f t="shared" si="14"/>
        <v>150</v>
      </c>
      <c r="O714" s="10">
        <v>0</v>
      </c>
      <c r="P714" s="24">
        <v>0</v>
      </c>
      <c r="Q714" s="8"/>
      <c r="R714" s="8"/>
      <c r="S714" s="8"/>
      <c r="T714" s="8"/>
      <c r="U714" s="8" t="s">
        <v>4002</v>
      </c>
      <c r="V714" s="8" t="s">
        <v>4003</v>
      </c>
    </row>
    <row r="715" spans="2:22" x14ac:dyDescent="0.3">
      <c r="B715" s="22">
        <v>708</v>
      </c>
      <c r="C715" s="8" t="s">
        <v>8</v>
      </c>
      <c r="D715" s="8" t="s">
        <v>3970</v>
      </c>
      <c r="E715" s="8" t="s">
        <v>4004</v>
      </c>
      <c r="F715" s="8" t="s">
        <v>95</v>
      </c>
      <c r="G715" s="8" t="s">
        <v>4005</v>
      </c>
      <c r="H715" s="8" t="s">
        <v>4001</v>
      </c>
      <c r="I715" s="8" t="s">
        <v>67</v>
      </c>
      <c r="J715" s="8">
        <v>2012</v>
      </c>
      <c r="K715" s="31">
        <v>0</v>
      </c>
      <c r="L715" s="31">
        <v>80</v>
      </c>
      <c r="M715" s="31">
        <v>0</v>
      </c>
      <c r="N715" s="31">
        <f t="shared" si="14"/>
        <v>80</v>
      </c>
      <c r="O715" s="10">
        <v>0</v>
      </c>
      <c r="P715" s="24">
        <v>0</v>
      </c>
      <c r="Q715" s="8"/>
      <c r="R715" s="8"/>
      <c r="S715" s="8"/>
      <c r="T715" s="8"/>
      <c r="U715" s="8" t="s">
        <v>4006</v>
      </c>
      <c r="V715" s="8" t="s">
        <v>4007</v>
      </c>
    </row>
    <row r="716" spans="2:22" x14ac:dyDescent="0.3">
      <c r="B716" s="22">
        <v>709</v>
      </c>
      <c r="C716" s="8" t="s">
        <v>8</v>
      </c>
      <c r="D716" s="8" t="s">
        <v>3970</v>
      </c>
      <c r="E716" s="8" t="s">
        <v>4008</v>
      </c>
      <c r="F716" s="8" t="s">
        <v>1243</v>
      </c>
      <c r="G716" s="8" t="s">
        <v>4009</v>
      </c>
      <c r="H716" s="8" t="s">
        <v>4010</v>
      </c>
      <c r="I716" s="8" t="s">
        <v>67</v>
      </c>
      <c r="J716" s="8">
        <v>2004</v>
      </c>
      <c r="K716" s="31">
        <v>0</v>
      </c>
      <c r="L716" s="31">
        <v>520</v>
      </c>
      <c r="M716" s="31">
        <v>0</v>
      </c>
      <c r="N716" s="31">
        <f t="shared" si="14"/>
        <v>520</v>
      </c>
      <c r="O716" s="10" t="s">
        <v>77</v>
      </c>
      <c r="P716" s="24">
        <v>0</v>
      </c>
      <c r="Q716" s="8"/>
      <c r="R716" s="8"/>
      <c r="S716" s="8"/>
      <c r="T716" s="8"/>
      <c r="U716" s="8" t="s">
        <v>4011</v>
      </c>
      <c r="V716" s="8" t="s">
        <v>4012</v>
      </c>
    </row>
    <row r="717" spans="2:22" x14ac:dyDescent="0.3">
      <c r="B717" s="22">
        <v>710</v>
      </c>
      <c r="C717" s="8" t="s">
        <v>8</v>
      </c>
      <c r="D717" s="8" t="s">
        <v>4013</v>
      </c>
      <c r="E717" s="5" t="s">
        <v>4014</v>
      </c>
      <c r="F717" s="8" t="s">
        <v>1243</v>
      </c>
      <c r="G717" s="5" t="s">
        <v>3979</v>
      </c>
      <c r="H717" s="5" t="s">
        <v>4015</v>
      </c>
      <c r="I717" s="5" t="s">
        <v>51</v>
      </c>
      <c r="J717" s="5">
        <v>2000</v>
      </c>
      <c r="K717" s="150">
        <v>0</v>
      </c>
      <c r="L717" s="31">
        <v>20</v>
      </c>
      <c r="M717" s="150">
        <v>0</v>
      </c>
      <c r="N717" s="31">
        <f t="shared" si="14"/>
        <v>20</v>
      </c>
      <c r="O717" s="151">
        <v>0</v>
      </c>
      <c r="P717" s="151">
        <v>0</v>
      </c>
      <c r="Q717" s="5"/>
      <c r="R717" s="5"/>
      <c r="S717" s="5"/>
      <c r="T717" s="5"/>
      <c r="U717" s="5" t="s">
        <v>4016</v>
      </c>
      <c r="V717" s="5" t="s">
        <v>4017</v>
      </c>
    </row>
    <row r="718" spans="2:22" x14ac:dyDescent="0.3">
      <c r="B718" s="22">
        <v>711</v>
      </c>
      <c r="C718" s="8" t="s">
        <v>8</v>
      </c>
      <c r="D718" s="8" t="s">
        <v>4013</v>
      </c>
      <c r="E718" s="5" t="s">
        <v>4018</v>
      </c>
      <c r="F718" s="8" t="s">
        <v>1243</v>
      </c>
      <c r="G718" s="5" t="s">
        <v>3979</v>
      </c>
      <c r="H718" s="5" t="s">
        <v>4019</v>
      </c>
      <c r="I718" s="5" t="s">
        <v>51</v>
      </c>
      <c r="J718" s="5">
        <v>2022</v>
      </c>
      <c r="K718" s="150">
        <v>0</v>
      </c>
      <c r="L718" s="31">
        <v>290</v>
      </c>
      <c r="M718" s="150">
        <v>0</v>
      </c>
      <c r="N718" s="31">
        <f t="shared" si="14"/>
        <v>290</v>
      </c>
      <c r="O718" s="151">
        <v>0</v>
      </c>
      <c r="P718" s="151">
        <v>0</v>
      </c>
      <c r="Q718" s="5"/>
      <c r="R718" s="5"/>
      <c r="S718" s="5"/>
      <c r="T718" s="5"/>
      <c r="U718" s="5" t="s">
        <v>4020</v>
      </c>
      <c r="V718" s="5" t="s">
        <v>4021</v>
      </c>
    </row>
    <row r="719" spans="2:22" x14ac:dyDescent="0.3">
      <c r="B719" s="22">
        <v>712</v>
      </c>
      <c r="C719" s="8" t="s">
        <v>8</v>
      </c>
      <c r="D719" s="8" t="s">
        <v>4013</v>
      </c>
      <c r="E719" s="5" t="s">
        <v>4022</v>
      </c>
      <c r="F719" s="5" t="s">
        <v>95</v>
      </c>
      <c r="G719" s="5" t="s">
        <v>4023</v>
      </c>
      <c r="H719" s="5" t="s">
        <v>4024</v>
      </c>
      <c r="I719" s="5" t="s">
        <v>51</v>
      </c>
      <c r="J719" s="5">
        <v>2019</v>
      </c>
      <c r="K719" s="150">
        <v>0</v>
      </c>
      <c r="L719" s="31">
        <v>60</v>
      </c>
      <c r="M719" s="150">
        <v>0</v>
      </c>
      <c r="N719" s="31">
        <f t="shared" si="14"/>
        <v>60</v>
      </c>
      <c r="O719" s="151" t="s">
        <v>4025</v>
      </c>
      <c r="P719" s="151">
        <v>0</v>
      </c>
      <c r="Q719" s="5"/>
      <c r="R719" s="5"/>
      <c r="S719" s="5"/>
      <c r="T719" s="5"/>
      <c r="U719" s="5" t="s">
        <v>4026</v>
      </c>
      <c r="V719" s="5" t="s">
        <v>4027</v>
      </c>
    </row>
    <row r="720" spans="2:22" x14ac:dyDescent="0.3">
      <c r="B720" s="22">
        <v>713</v>
      </c>
      <c r="C720" s="8" t="s">
        <v>8</v>
      </c>
      <c r="D720" s="8" t="s">
        <v>4013</v>
      </c>
      <c r="E720" s="5" t="s">
        <v>4028</v>
      </c>
      <c r="F720" s="5" t="s">
        <v>95</v>
      </c>
      <c r="G720" s="5" t="s">
        <v>4029</v>
      </c>
      <c r="H720" s="5" t="s">
        <v>4024</v>
      </c>
      <c r="I720" s="5" t="s">
        <v>51</v>
      </c>
      <c r="J720" s="5">
        <v>2019</v>
      </c>
      <c r="K720" s="150">
        <v>0</v>
      </c>
      <c r="L720" s="31">
        <v>40</v>
      </c>
      <c r="M720" s="150">
        <v>0</v>
      </c>
      <c r="N720" s="31">
        <f t="shared" si="14"/>
        <v>40</v>
      </c>
      <c r="O720" s="151" t="s">
        <v>4030</v>
      </c>
      <c r="P720" s="151">
        <v>0</v>
      </c>
      <c r="Q720" s="5"/>
      <c r="R720" s="5"/>
      <c r="S720" s="5"/>
      <c r="T720" s="5"/>
      <c r="U720" s="5" t="s">
        <v>4026</v>
      </c>
      <c r="V720" s="5" t="s">
        <v>4027</v>
      </c>
    </row>
    <row r="721" spans="2:22" x14ac:dyDescent="0.3">
      <c r="B721" s="22">
        <v>714</v>
      </c>
      <c r="C721" s="8" t="s">
        <v>8</v>
      </c>
      <c r="D721" s="8" t="s">
        <v>4013</v>
      </c>
      <c r="E721" s="5" t="s">
        <v>4031</v>
      </c>
      <c r="F721" s="5" t="s">
        <v>95</v>
      </c>
      <c r="G721" s="5" t="s">
        <v>614</v>
      </c>
      <c r="H721" s="5" t="s">
        <v>4024</v>
      </c>
      <c r="I721" s="5" t="s">
        <v>51</v>
      </c>
      <c r="J721" s="5">
        <v>2019</v>
      </c>
      <c r="K721" s="150">
        <v>0</v>
      </c>
      <c r="L721" s="31">
        <v>60</v>
      </c>
      <c r="M721" s="150">
        <v>0</v>
      </c>
      <c r="N721" s="31">
        <f t="shared" si="14"/>
        <v>60</v>
      </c>
      <c r="O721" s="151" t="s">
        <v>4032</v>
      </c>
      <c r="P721" s="151">
        <v>0</v>
      </c>
      <c r="Q721" s="5"/>
      <c r="R721" s="5"/>
      <c r="S721" s="5"/>
      <c r="T721" s="5"/>
      <c r="U721" s="5" t="s">
        <v>4026</v>
      </c>
      <c r="V721" s="5" t="s">
        <v>4027</v>
      </c>
    </row>
    <row r="722" spans="2:22" x14ac:dyDescent="0.3">
      <c r="B722" s="22">
        <v>715</v>
      </c>
      <c r="C722" s="8" t="s">
        <v>8</v>
      </c>
      <c r="D722" s="8" t="s">
        <v>4013</v>
      </c>
      <c r="E722" s="152" t="s">
        <v>4033</v>
      </c>
      <c r="F722" s="5" t="s">
        <v>95</v>
      </c>
      <c r="G722" s="152" t="s">
        <v>1271</v>
      </c>
      <c r="H722" s="152" t="s">
        <v>4024</v>
      </c>
      <c r="I722" s="152" t="s">
        <v>51</v>
      </c>
      <c r="J722" s="152">
        <v>2019</v>
      </c>
      <c r="K722" s="153">
        <v>0</v>
      </c>
      <c r="L722" s="31">
        <v>40</v>
      </c>
      <c r="M722" s="153">
        <v>0</v>
      </c>
      <c r="N722" s="31">
        <f t="shared" si="14"/>
        <v>40</v>
      </c>
      <c r="O722" s="154" t="s">
        <v>4034</v>
      </c>
      <c r="P722" s="154">
        <v>0</v>
      </c>
      <c r="Q722" s="152"/>
      <c r="R722" s="152"/>
      <c r="S722" s="152"/>
      <c r="T722" s="152"/>
      <c r="U722" s="5" t="s">
        <v>4026</v>
      </c>
      <c r="V722" s="5" t="s">
        <v>4027</v>
      </c>
    </row>
    <row r="723" spans="2:22" x14ac:dyDescent="0.3">
      <c r="B723" s="22">
        <v>716</v>
      </c>
      <c r="C723" s="8" t="s">
        <v>8</v>
      </c>
      <c r="D723" s="8" t="s">
        <v>4013</v>
      </c>
      <c r="E723" s="5" t="s">
        <v>4035</v>
      </c>
      <c r="F723" s="5" t="s">
        <v>50</v>
      </c>
      <c r="G723" s="5" t="s">
        <v>4036</v>
      </c>
      <c r="H723" s="5" t="s">
        <v>4037</v>
      </c>
      <c r="I723" s="5" t="s">
        <v>51</v>
      </c>
      <c r="J723" s="5">
        <v>2009</v>
      </c>
      <c r="K723" s="150">
        <v>0</v>
      </c>
      <c r="L723" s="31">
        <v>30</v>
      </c>
      <c r="M723" s="150">
        <v>0</v>
      </c>
      <c r="N723" s="31">
        <f t="shared" si="14"/>
        <v>30</v>
      </c>
      <c r="O723" s="151">
        <v>0</v>
      </c>
      <c r="P723" s="151">
        <v>0</v>
      </c>
      <c r="Q723" s="5" t="s">
        <v>4038</v>
      </c>
      <c r="R723" s="5" t="s">
        <v>173</v>
      </c>
      <c r="S723" s="5" t="s">
        <v>1538</v>
      </c>
      <c r="T723" s="5"/>
      <c r="U723" s="5" t="s">
        <v>4039</v>
      </c>
      <c r="V723" s="5" t="s">
        <v>4040</v>
      </c>
    </row>
    <row r="724" spans="2:22" x14ac:dyDescent="0.3">
      <c r="B724" s="22">
        <v>717</v>
      </c>
      <c r="C724" s="8" t="s">
        <v>8</v>
      </c>
      <c r="D724" s="8" t="s">
        <v>4013</v>
      </c>
      <c r="E724" s="5" t="s">
        <v>4041</v>
      </c>
      <c r="F724" s="5" t="s">
        <v>50</v>
      </c>
      <c r="G724" s="5" t="s">
        <v>3296</v>
      </c>
      <c r="H724" s="5" t="s">
        <v>4042</v>
      </c>
      <c r="I724" s="5" t="s">
        <v>51</v>
      </c>
      <c r="J724" s="5">
        <v>2011</v>
      </c>
      <c r="K724" s="150">
        <v>0</v>
      </c>
      <c r="L724" s="31">
        <v>90</v>
      </c>
      <c r="M724" s="150">
        <v>0</v>
      </c>
      <c r="N724" s="31">
        <f t="shared" si="14"/>
        <v>90</v>
      </c>
      <c r="O724" s="151">
        <v>0</v>
      </c>
      <c r="P724" s="151">
        <v>0</v>
      </c>
      <c r="Q724" s="5" t="s">
        <v>4043</v>
      </c>
      <c r="R724" s="5" t="s">
        <v>173</v>
      </c>
      <c r="S724" s="5" t="s">
        <v>1538</v>
      </c>
      <c r="T724" s="5"/>
      <c r="U724" s="5" t="s">
        <v>4039</v>
      </c>
      <c r="V724" s="5" t="s">
        <v>4040</v>
      </c>
    </row>
    <row r="725" spans="2:22" x14ac:dyDescent="0.3">
      <c r="B725" s="22">
        <v>718</v>
      </c>
      <c r="C725" s="8" t="s">
        <v>8</v>
      </c>
      <c r="D725" s="8" t="s">
        <v>4044</v>
      </c>
      <c r="E725" s="8" t="s">
        <v>4045</v>
      </c>
      <c r="F725" s="5" t="s">
        <v>50</v>
      </c>
      <c r="G725" s="8" t="s">
        <v>3989</v>
      </c>
      <c r="H725" s="8" t="s">
        <v>4046</v>
      </c>
      <c r="I725" s="8" t="s">
        <v>51</v>
      </c>
      <c r="J725" s="8">
        <v>1986</v>
      </c>
      <c r="K725" s="31">
        <v>0</v>
      </c>
      <c r="L725" s="31">
        <v>385</v>
      </c>
      <c r="M725" s="31">
        <v>0</v>
      </c>
      <c r="N725" s="31">
        <f t="shared" si="14"/>
        <v>385</v>
      </c>
      <c r="O725" s="24" t="s">
        <v>4047</v>
      </c>
      <c r="P725" s="24" t="s">
        <v>4048</v>
      </c>
      <c r="Q725" s="8" t="s">
        <v>4049</v>
      </c>
      <c r="R725" s="5" t="s">
        <v>42</v>
      </c>
      <c r="S725" s="5" t="s">
        <v>4050</v>
      </c>
      <c r="T725" s="8"/>
      <c r="U725" s="8" t="s">
        <v>4051</v>
      </c>
      <c r="V725" s="8" t="s">
        <v>4052</v>
      </c>
    </row>
    <row r="726" spans="2:22" x14ac:dyDescent="0.3">
      <c r="B726" s="22">
        <v>719</v>
      </c>
      <c r="C726" s="8" t="s">
        <v>8</v>
      </c>
      <c r="D726" s="8" t="s">
        <v>4044</v>
      </c>
      <c r="E726" s="8" t="s">
        <v>4053</v>
      </c>
      <c r="F726" s="8" t="s">
        <v>55</v>
      </c>
      <c r="G726" s="8" t="s">
        <v>4054</v>
      </c>
      <c r="H726" s="8" t="s">
        <v>4055</v>
      </c>
      <c r="I726" s="8" t="s">
        <v>51</v>
      </c>
      <c r="J726" s="8">
        <v>2008</v>
      </c>
      <c r="K726" s="31">
        <v>0</v>
      </c>
      <c r="L726" s="31">
        <v>0</v>
      </c>
      <c r="M726" s="31">
        <v>548</v>
      </c>
      <c r="N726" s="31">
        <f t="shared" si="14"/>
        <v>548</v>
      </c>
      <c r="O726" s="24">
        <v>0</v>
      </c>
      <c r="P726" s="24">
        <v>0</v>
      </c>
      <c r="Q726" s="8" t="s">
        <v>4049</v>
      </c>
      <c r="R726" s="5" t="s">
        <v>42</v>
      </c>
      <c r="S726" s="5" t="s">
        <v>4050</v>
      </c>
      <c r="T726" s="8"/>
      <c r="U726" s="8" t="s">
        <v>4056</v>
      </c>
      <c r="V726" s="8" t="s">
        <v>4057</v>
      </c>
    </row>
    <row r="727" spans="2:22" x14ac:dyDescent="0.3">
      <c r="B727" s="22">
        <v>720</v>
      </c>
      <c r="C727" s="8" t="s">
        <v>8</v>
      </c>
      <c r="D727" s="8" t="s">
        <v>4058</v>
      </c>
      <c r="E727" s="8" t="s">
        <v>4059</v>
      </c>
      <c r="F727" s="8" t="s">
        <v>55</v>
      </c>
      <c r="G727" s="8" t="s">
        <v>75</v>
      </c>
      <c r="H727" s="8" t="s">
        <v>4060</v>
      </c>
      <c r="I727" s="8" t="s">
        <v>51</v>
      </c>
      <c r="J727" s="8">
        <v>2019</v>
      </c>
      <c r="K727" s="31">
        <v>0</v>
      </c>
      <c r="L727" s="31">
        <v>1397</v>
      </c>
      <c r="M727" s="31">
        <v>0</v>
      </c>
      <c r="N727" s="31">
        <f t="shared" si="14"/>
        <v>1397</v>
      </c>
      <c r="O727" s="24" t="s">
        <v>4061</v>
      </c>
      <c r="P727" s="24">
        <v>0</v>
      </c>
      <c r="Q727" s="8" t="s">
        <v>4062</v>
      </c>
      <c r="R727" s="8" t="s">
        <v>42</v>
      </c>
      <c r="S727" s="8" t="s">
        <v>4063</v>
      </c>
      <c r="T727" s="8"/>
      <c r="U727" s="8" t="s">
        <v>4064</v>
      </c>
      <c r="V727" s="8" t="s">
        <v>4065</v>
      </c>
    </row>
    <row r="728" spans="2:22" x14ac:dyDescent="0.3">
      <c r="B728" s="22">
        <v>721</v>
      </c>
      <c r="C728" s="8" t="s">
        <v>8</v>
      </c>
      <c r="D728" s="155" t="s">
        <v>4066</v>
      </c>
      <c r="E728" s="8" t="s">
        <v>4067</v>
      </c>
      <c r="F728" s="8" t="s">
        <v>55</v>
      </c>
      <c r="G728" s="8" t="s">
        <v>4068</v>
      </c>
      <c r="H728" s="8" t="s">
        <v>4069</v>
      </c>
      <c r="I728" s="8" t="s">
        <v>67</v>
      </c>
      <c r="J728" s="8">
        <v>2009</v>
      </c>
      <c r="K728" s="31">
        <v>0</v>
      </c>
      <c r="L728" s="31">
        <v>70</v>
      </c>
      <c r="M728" s="31">
        <v>0</v>
      </c>
      <c r="N728" s="31">
        <f t="shared" si="14"/>
        <v>70</v>
      </c>
      <c r="O728" s="24" t="s">
        <v>4070</v>
      </c>
      <c r="P728" s="24">
        <v>0</v>
      </c>
      <c r="Q728" s="8" t="s">
        <v>4071</v>
      </c>
      <c r="R728" s="8" t="s">
        <v>42</v>
      </c>
      <c r="S728" s="8" t="s">
        <v>4072</v>
      </c>
      <c r="T728" s="8"/>
      <c r="U728" s="8" t="s">
        <v>4073</v>
      </c>
      <c r="V728" s="8" t="s">
        <v>4074</v>
      </c>
    </row>
    <row r="729" spans="2:22" x14ac:dyDescent="0.3">
      <c r="B729" s="22">
        <v>722</v>
      </c>
      <c r="C729" s="8" t="s">
        <v>8</v>
      </c>
      <c r="D729" s="8" t="s">
        <v>4066</v>
      </c>
      <c r="E729" s="8" t="s">
        <v>4075</v>
      </c>
      <c r="F729" s="8" t="s">
        <v>95</v>
      </c>
      <c r="G729" s="8" t="s">
        <v>4076</v>
      </c>
      <c r="H729" s="8" t="s">
        <v>4077</v>
      </c>
      <c r="I729" s="8" t="s">
        <v>67</v>
      </c>
      <c r="J729" s="8">
        <v>2008</v>
      </c>
      <c r="K729" s="31">
        <v>0</v>
      </c>
      <c r="L729" s="31">
        <v>1350</v>
      </c>
      <c r="M729" s="31">
        <v>0</v>
      </c>
      <c r="N729" s="31">
        <f t="shared" si="14"/>
        <v>1350</v>
      </c>
      <c r="O729" s="24">
        <v>0</v>
      </c>
      <c r="P729" s="24">
        <v>0</v>
      </c>
      <c r="Q729" s="8" t="s">
        <v>4071</v>
      </c>
      <c r="R729" s="5" t="s">
        <v>42</v>
      </c>
      <c r="S729" s="8" t="s">
        <v>4072</v>
      </c>
      <c r="T729" s="156"/>
      <c r="U729" s="8" t="s">
        <v>4078</v>
      </c>
      <c r="V729" s="8" t="s">
        <v>4079</v>
      </c>
    </row>
    <row r="730" spans="2:22" x14ac:dyDescent="0.3">
      <c r="B730" s="22">
        <v>723</v>
      </c>
      <c r="C730" s="8" t="s">
        <v>8</v>
      </c>
      <c r="D730" s="8" t="s">
        <v>4066</v>
      </c>
      <c r="E730" s="8" t="s">
        <v>4080</v>
      </c>
      <c r="F730" s="8" t="s">
        <v>390</v>
      </c>
      <c r="G730" s="8" t="s">
        <v>4081</v>
      </c>
      <c r="H730" s="8" t="s">
        <v>4082</v>
      </c>
      <c r="I730" s="8" t="s">
        <v>51</v>
      </c>
      <c r="J730" s="8">
        <v>2013</v>
      </c>
      <c r="K730" s="31">
        <v>0</v>
      </c>
      <c r="L730" s="31">
        <v>250</v>
      </c>
      <c r="M730" s="31">
        <v>0</v>
      </c>
      <c r="N730" s="31">
        <f t="shared" si="14"/>
        <v>250</v>
      </c>
      <c r="O730" s="24">
        <v>0</v>
      </c>
      <c r="P730" s="24">
        <v>0</v>
      </c>
      <c r="Q730" s="8" t="s">
        <v>4083</v>
      </c>
      <c r="R730" s="8" t="s">
        <v>395</v>
      </c>
      <c r="S730" s="8" t="s">
        <v>4084</v>
      </c>
      <c r="T730" s="8"/>
      <c r="U730" s="8" t="s">
        <v>4085</v>
      </c>
      <c r="V730" s="8" t="s">
        <v>4086</v>
      </c>
    </row>
    <row r="731" spans="2:22" x14ac:dyDescent="0.3">
      <c r="B731" s="22">
        <v>724</v>
      </c>
      <c r="C731" s="8" t="s">
        <v>8</v>
      </c>
      <c r="D731" s="5" t="s">
        <v>4066</v>
      </c>
      <c r="E731" s="5" t="s">
        <v>4087</v>
      </c>
      <c r="F731" s="5" t="s">
        <v>4088</v>
      </c>
      <c r="G731" s="5" t="s">
        <v>1240</v>
      </c>
      <c r="H731" s="5" t="s">
        <v>4089</v>
      </c>
      <c r="I731" s="5" t="s">
        <v>67</v>
      </c>
      <c r="J731" s="5">
        <v>2017</v>
      </c>
      <c r="K731" s="31">
        <v>0</v>
      </c>
      <c r="L731" s="31">
        <v>290</v>
      </c>
      <c r="M731" s="31">
        <v>0</v>
      </c>
      <c r="N731" s="31">
        <f t="shared" si="14"/>
        <v>290</v>
      </c>
      <c r="O731" s="24">
        <v>0</v>
      </c>
      <c r="P731" s="24">
        <v>0</v>
      </c>
      <c r="Q731" s="156"/>
      <c r="R731" s="156"/>
      <c r="S731" s="156"/>
      <c r="T731" s="156"/>
      <c r="U731" s="5" t="s">
        <v>4090</v>
      </c>
      <c r="V731" s="5" t="s">
        <v>4091</v>
      </c>
    </row>
    <row r="732" spans="2:22" x14ac:dyDescent="0.3">
      <c r="B732" s="22">
        <v>725</v>
      </c>
      <c r="C732" s="8" t="s">
        <v>8</v>
      </c>
      <c r="D732" s="8" t="s">
        <v>4066</v>
      </c>
      <c r="E732" s="8" t="s">
        <v>4092</v>
      </c>
      <c r="F732" s="8" t="s">
        <v>259</v>
      </c>
      <c r="G732" s="8" t="s">
        <v>3979</v>
      </c>
      <c r="H732" s="8" t="s">
        <v>4093</v>
      </c>
      <c r="I732" s="8" t="s">
        <v>67</v>
      </c>
      <c r="J732" s="25">
        <v>2002</v>
      </c>
      <c r="K732" s="31">
        <v>0</v>
      </c>
      <c r="L732" s="31">
        <v>1380</v>
      </c>
      <c r="M732" s="31">
        <v>0</v>
      </c>
      <c r="N732" s="31">
        <f t="shared" si="14"/>
        <v>1380</v>
      </c>
      <c r="O732" s="24">
        <v>0</v>
      </c>
      <c r="P732" s="24">
        <v>0</v>
      </c>
      <c r="Q732" s="8" t="s">
        <v>4094</v>
      </c>
      <c r="R732" s="8" t="s">
        <v>247</v>
      </c>
      <c r="S732" s="8" t="s">
        <v>4072</v>
      </c>
      <c r="T732" s="8"/>
      <c r="U732" s="8" t="s">
        <v>4095</v>
      </c>
      <c r="V732" s="8" t="s">
        <v>4096</v>
      </c>
    </row>
    <row r="733" spans="2:22" x14ac:dyDescent="0.3">
      <c r="B733" s="22">
        <v>726</v>
      </c>
      <c r="C733" s="8" t="s">
        <v>8</v>
      </c>
      <c r="D733" s="8" t="s">
        <v>4097</v>
      </c>
      <c r="E733" s="8" t="s">
        <v>4098</v>
      </c>
      <c r="F733" s="8" t="s">
        <v>55</v>
      </c>
      <c r="G733" s="8" t="s">
        <v>4099</v>
      </c>
      <c r="H733" s="8" t="s">
        <v>4100</v>
      </c>
      <c r="I733" s="8" t="s">
        <v>67</v>
      </c>
      <c r="J733" s="8">
        <v>1998</v>
      </c>
      <c r="K733" s="32">
        <v>0</v>
      </c>
      <c r="L733" s="31">
        <v>470</v>
      </c>
      <c r="M733" s="32">
        <v>100</v>
      </c>
      <c r="N733" s="31">
        <f t="shared" si="14"/>
        <v>570</v>
      </c>
      <c r="O733" s="151" t="s">
        <v>4101</v>
      </c>
      <c r="P733" s="24">
        <v>0</v>
      </c>
      <c r="Q733" s="8" t="s">
        <v>4102</v>
      </c>
      <c r="R733" s="8" t="s">
        <v>42</v>
      </c>
      <c r="S733" s="8" t="s">
        <v>4103</v>
      </c>
      <c r="T733" s="8"/>
      <c r="U733" s="8" t="s">
        <v>4104</v>
      </c>
      <c r="V733" s="8" t="s">
        <v>4105</v>
      </c>
    </row>
    <row r="734" spans="2:22" x14ac:dyDescent="0.3">
      <c r="B734" s="22">
        <v>727</v>
      </c>
      <c r="C734" s="8" t="s">
        <v>8</v>
      </c>
      <c r="D734" s="8" t="s">
        <v>4097</v>
      </c>
      <c r="E734" s="8" t="s">
        <v>4106</v>
      </c>
      <c r="F734" s="8" t="s">
        <v>55</v>
      </c>
      <c r="G734" s="8" t="s">
        <v>4099</v>
      </c>
      <c r="H734" s="8" t="s">
        <v>4100</v>
      </c>
      <c r="I734" s="8" t="s">
        <v>67</v>
      </c>
      <c r="J734" s="8">
        <v>2017</v>
      </c>
      <c r="K734" s="32">
        <v>0</v>
      </c>
      <c r="L734" s="31">
        <v>200</v>
      </c>
      <c r="M734" s="32">
        <v>0</v>
      </c>
      <c r="N734" s="31">
        <f t="shared" si="14"/>
        <v>200</v>
      </c>
      <c r="O734" s="151" t="s">
        <v>4101</v>
      </c>
      <c r="P734" s="24">
        <v>0</v>
      </c>
      <c r="Q734" s="8" t="s">
        <v>4102</v>
      </c>
      <c r="R734" s="8" t="s">
        <v>42</v>
      </c>
      <c r="S734" s="8" t="s">
        <v>4103</v>
      </c>
      <c r="T734" s="8"/>
      <c r="U734" s="8" t="s">
        <v>4104</v>
      </c>
      <c r="V734" s="8" t="s">
        <v>4105</v>
      </c>
    </row>
    <row r="735" spans="2:22" x14ac:dyDescent="0.3">
      <c r="B735" s="22">
        <v>728</v>
      </c>
      <c r="C735" s="8" t="s">
        <v>8</v>
      </c>
      <c r="D735" s="8" t="s">
        <v>4097</v>
      </c>
      <c r="E735" s="8" t="s">
        <v>4107</v>
      </c>
      <c r="F735" s="8" t="s">
        <v>55</v>
      </c>
      <c r="G735" s="8" t="s">
        <v>4108</v>
      </c>
      <c r="H735" s="8" t="s">
        <v>4109</v>
      </c>
      <c r="I735" s="8" t="s">
        <v>67</v>
      </c>
      <c r="J735" s="8">
        <v>1999</v>
      </c>
      <c r="K735" s="32">
        <v>0</v>
      </c>
      <c r="L735" s="31">
        <v>1100</v>
      </c>
      <c r="M735" s="32">
        <v>0</v>
      </c>
      <c r="N735" s="31">
        <f t="shared" si="14"/>
        <v>1100</v>
      </c>
      <c r="O735" s="151" t="s">
        <v>4110</v>
      </c>
      <c r="P735" s="24">
        <v>0</v>
      </c>
      <c r="Q735" s="8" t="s">
        <v>4111</v>
      </c>
      <c r="R735" s="8" t="s">
        <v>173</v>
      </c>
      <c r="S735" s="8" t="s">
        <v>4112</v>
      </c>
      <c r="T735" s="8"/>
      <c r="U735" s="8" t="s">
        <v>4113</v>
      </c>
      <c r="V735" s="8" t="s">
        <v>4114</v>
      </c>
    </row>
    <row r="736" spans="2:22" x14ac:dyDescent="0.3">
      <c r="B736" s="22">
        <v>729</v>
      </c>
      <c r="C736" s="8" t="s">
        <v>8</v>
      </c>
      <c r="D736" s="8" t="s">
        <v>4115</v>
      </c>
      <c r="E736" s="8" t="s">
        <v>4116</v>
      </c>
      <c r="F736" s="8" t="s">
        <v>50</v>
      </c>
      <c r="G736" s="8" t="s">
        <v>4117</v>
      </c>
      <c r="H736" s="8" t="s">
        <v>4118</v>
      </c>
      <c r="I736" s="8" t="s">
        <v>67</v>
      </c>
      <c r="J736" s="8">
        <v>1986</v>
      </c>
      <c r="K736" s="31">
        <v>0</v>
      </c>
      <c r="L736" s="31">
        <v>570</v>
      </c>
      <c r="M736" s="31">
        <v>0</v>
      </c>
      <c r="N736" s="31">
        <f t="shared" si="14"/>
        <v>570</v>
      </c>
      <c r="O736" s="24" t="s">
        <v>4119</v>
      </c>
      <c r="P736" s="24">
        <v>0</v>
      </c>
      <c r="Q736" s="8" t="s">
        <v>4120</v>
      </c>
      <c r="R736" s="8" t="s">
        <v>2414</v>
      </c>
      <c r="S736" s="8" t="s">
        <v>4121</v>
      </c>
      <c r="T736" s="8"/>
      <c r="U736" s="8" t="s">
        <v>4122</v>
      </c>
      <c r="V736" s="8" t="s">
        <v>4123</v>
      </c>
    </row>
    <row r="737" spans="2:22" x14ac:dyDescent="0.3">
      <c r="B737" s="22">
        <v>730</v>
      </c>
      <c r="C737" s="8" t="s">
        <v>8</v>
      </c>
      <c r="D737" s="49" t="s">
        <v>4124</v>
      </c>
      <c r="E737" s="49" t="s">
        <v>4125</v>
      </c>
      <c r="F737" s="49" t="s">
        <v>55</v>
      </c>
      <c r="G737" s="49" t="s">
        <v>4126</v>
      </c>
      <c r="H737" s="49" t="s">
        <v>4127</v>
      </c>
      <c r="I737" s="49" t="s">
        <v>51</v>
      </c>
      <c r="J737" s="49">
        <v>2005</v>
      </c>
      <c r="K737" s="157">
        <v>0</v>
      </c>
      <c r="L737" s="31">
        <v>530</v>
      </c>
      <c r="M737" s="157">
        <v>0</v>
      </c>
      <c r="N737" s="31">
        <f t="shared" si="14"/>
        <v>530</v>
      </c>
      <c r="O737" s="158" t="s">
        <v>4128</v>
      </c>
      <c r="P737" s="158">
        <v>0</v>
      </c>
      <c r="Q737" s="49" t="s">
        <v>4129</v>
      </c>
      <c r="R737" s="49" t="s">
        <v>42</v>
      </c>
      <c r="S737" s="49" t="s">
        <v>4130</v>
      </c>
      <c r="T737" s="49"/>
      <c r="U737" s="49" t="s">
        <v>4131</v>
      </c>
      <c r="V737" s="49" t="s">
        <v>4132</v>
      </c>
    </row>
    <row r="738" spans="2:22" x14ac:dyDescent="0.3">
      <c r="B738" s="22">
        <v>731</v>
      </c>
      <c r="C738" s="8" t="s">
        <v>8</v>
      </c>
      <c r="D738" s="5" t="s">
        <v>4133</v>
      </c>
      <c r="E738" s="5" t="s">
        <v>4134</v>
      </c>
      <c r="F738" s="5" t="s">
        <v>243</v>
      </c>
      <c r="G738" s="5" t="s">
        <v>4135</v>
      </c>
      <c r="H738" s="5" t="s">
        <v>4136</v>
      </c>
      <c r="I738" s="5" t="s">
        <v>235</v>
      </c>
      <c r="J738" s="5">
        <v>2003</v>
      </c>
      <c r="K738" s="150">
        <v>0</v>
      </c>
      <c r="L738" s="31">
        <v>200</v>
      </c>
      <c r="M738" s="150">
        <v>0</v>
      </c>
      <c r="N738" s="31">
        <f t="shared" si="14"/>
        <v>200</v>
      </c>
      <c r="O738" s="15" t="s">
        <v>4137</v>
      </c>
      <c r="P738" s="15" t="s">
        <v>4138</v>
      </c>
      <c r="Q738" s="5" t="s">
        <v>4139</v>
      </c>
      <c r="R738" s="5" t="s">
        <v>238</v>
      </c>
      <c r="S738" s="5" t="s">
        <v>4140</v>
      </c>
      <c r="T738" s="5"/>
      <c r="U738" s="5" t="s">
        <v>4141</v>
      </c>
      <c r="V738" s="5" t="s">
        <v>4142</v>
      </c>
    </row>
    <row r="739" spans="2:22" x14ac:dyDescent="0.3">
      <c r="B739" s="22">
        <v>732</v>
      </c>
      <c r="C739" s="8" t="s">
        <v>8</v>
      </c>
      <c r="D739" s="8" t="s">
        <v>4143</v>
      </c>
      <c r="E739" s="8" t="s">
        <v>4144</v>
      </c>
      <c r="F739" s="8" t="s">
        <v>1243</v>
      </c>
      <c r="G739" s="8" t="s">
        <v>560</v>
      </c>
      <c r="H739" s="8" t="s">
        <v>4145</v>
      </c>
      <c r="I739" s="8" t="s">
        <v>51</v>
      </c>
      <c r="J739" s="8">
        <v>1998</v>
      </c>
      <c r="K739" s="150">
        <v>0</v>
      </c>
      <c r="L739" s="31">
        <v>210</v>
      </c>
      <c r="M739" s="150">
        <v>0</v>
      </c>
      <c r="N739" s="31">
        <f t="shared" ref="N739:N802" si="15">SUM(K739:M739)</f>
        <v>210</v>
      </c>
      <c r="O739" s="10" t="s">
        <v>1732</v>
      </c>
      <c r="P739" s="10" t="s">
        <v>401</v>
      </c>
      <c r="Q739" s="8" t="s">
        <v>4146</v>
      </c>
      <c r="R739" s="8" t="s">
        <v>173</v>
      </c>
      <c r="S739" s="8"/>
      <c r="T739" s="8"/>
      <c r="U739" s="8" t="s">
        <v>4147</v>
      </c>
      <c r="V739" s="8" t="s">
        <v>4148</v>
      </c>
    </row>
    <row r="740" spans="2:22" x14ac:dyDescent="0.3">
      <c r="B740" s="22">
        <v>733</v>
      </c>
      <c r="C740" s="8" t="s">
        <v>8</v>
      </c>
      <c r="D740" s="8" t="s">
        <v>4143</v>
      </c>
      <c r="E740" s="8" t="s">
        <v>4149</v>
      </c>
      <c r="F740" s="8" t="s">
        <v>1243</v>
      </c>
      <c r="G740" s="8" t="s">
        <v>440</v>
      </c>
      <c r="H740" s="8" t="s">
        <v>4150</v>
      </c>
      <c r="I740" s="8" t="s">
        <v>51</v>
      </c>
      <c r="J740" s="8">
        <v>2022</v>
      </c>
      <c r="K740" s="150">
        <v>0</v>
      </c>
      <c r="L740" s="31">
        <v>430</v>
      </c>
      <c r="M740" s="150">
        <v>0</v>
      </c>
      <c r="N740" s="31">
        <f t="shared" si="15"/>
        <v>430</v>
      </c>
      <c r="O740" s="10">
        <v>0</v>
      </c>
      <c r="P740" s="10">
        <v>0</v>
      </c>
      <c r="Q740" s="8" t="s">
        <v>4151</v>
      </c>
      <c r="R740" s="8" t="s">
        <v>42</v>
      </c>
      <c r="S740" s="8" t="s">
        <v>4152</v>
      </c>
      <c r="T740" s="8"/>
      <c r="U740" s="8" t="s">
        <v>4147</v>
      </c>
      <c r="V740" s="8" t="s">
        <v>4148</v>
      </c>
    </row>
    <row r="741" spans="2:22" x14ac:dyDescent="0.3">
      <c r="B741" s="22">
        <v>734</v>
      </c>
      <c r="C741" s="8" t="s">
        <v>8</v>
      </c>
      <c r="D741" s="47" t="s">
        <v>4133</v>
      </c>
      <c r="E741" s="47" t="s">
        <v>4153</v>
      </c>
      <c r="F741" s="47" t="s">
        <v>55</v>
      </c>
      <c r="G741" s="47" t="s">
        <v>4154</v>
      </c>
      <c r="H741" s="47" t="s">
        <v>4155</v>
      </c>
      <c r="I741" s="47" t="s">
        <v>235</v>
      </c>
      <c r="J741" s="47">
        <v>2006</v>
      </c>
      <c r="K741" s="159">
        <v>0</v>
      </c>
      <c r="L741" s="31">
        <v>60</v>
      </c>
      <c r="M741" s="150">
        <v>0</v>
      </c>
      <c r="N741" s="31">
        <f t="shared" si="15"/>
        <v>60</v>
      </c>
      <c r="O741" s="160">
        <v>0</v>
      </c>
      <c r="P741" s="160">
        <v>0</v>
      </c>
      <c r="Q741" s="47" t="s">
        <v>4156</v>
      </c>
      <c r="R741" s="47" t="s">
        <v>238</v>
      </c>
      <c r="S741" s="47"/>
      <c r="T741" s="47"/>
      <c r="U741" s="47" t="s">
        <v>4157</v>
      </c>
      <c r="V741" s="47" t="s">
        <v>4158</v>
      </c>
    </row>
    <row r="742" spans="2:22" x14ac:dyDescent="0.3">
      <c r="B742" s="22">
        <v>735</v>
      </c>
      <c r="C742" s="8" t="s">
        <v>8</v>
      </c>
      <c r="D742" s="5" t="s">
        <v>4143</v>
      </c>
      <c r="E742" s="5" t="s">
        <v>4159</v>
      </c>
      <c r="F742" s="5" t="s">
        <v>55</v>
      </c>
      <c r="G742" s="5" t="s">
        <v>4160</v>
      </c>
      <c r="H742" s="5" t="s">
        <v>4161</v>
      </c>
      <c r="I742" s="5" t="s">
        <v>51</v>
      </c>
      <c r="J742" s="5">
        <v>2019</v>
      </c>
      <c r="K742" s="150">
        <v>0</v>
      </c>
      <c r="L742" s="31">
        <v>250</v>
      </c>
      <c r="M742" s="150">
        <v>0</v>
      </c>
      <c r="N742" s="31">
        <f t="shared" si="15"/>
        <v>250</v>
      </c>
      <c r="O742" s="10">
        <v>0</v>
      </c>
      <c r="P742" s="10">
        <v>0</v>
      </c>
      <c r="Q742" s="5" t="s">
        <v>4162</v>
      </c>
      <c r="R742" s="5" t="s">
        <v>42</v>
      </c>
      <c r="S742" s="5" t="s">
        <v>4163</v>
      </c>
      <c r="T742" s="8"/>
      <c r="U742" s="8" t="s">
        <v>2527</v>
      </c>
      <c r="V742" s="8" t="s">
        <v>4164</v>
      </c>
    </row>
    <row r="743" spans="2:22" x14ac:dyDescent="0.3">
      <c r="B743" s="22">
        <v>736</v>
      </c>
      <c r="C743" s="8" t="s">
        <v>8</v>
      </c>
      <c r="D743" s="5" t="s">
        <v>4143</v>
      </c>
      <c r="E743" s="5" t="s">
        <v>4165</v>
      </c>
      <c r="F743" s="5" t="s">
        <v>55</v>
      </c>
      <c r="G743" s="5" t="s">
        <v>3979</v>
      </c>
      <c r="H743" s="5" t="s">
        <v>4166</v>
      </c>
      <c r="I743" s="5" t="s">
        <v>51</v>
      </c>
      <c r="J743" s="5">
        <v>2006</v>
      </c>
      <c r="K743" s="150">
        <v>0</v>
      </c>
      <c r="L743" s="31">
        <v>120</v>
      </c>
      <c r="M743" s="150">
        <v>0</v>
      </c>
      <c r="N743" s="31">
        <f t="shared" si="15"/>
        <v>120</v>
      </c>
      <c r="O743" s="15" t="s">
        <v>78</v>
      </c>
      <c r="P743" s="15" t="s">
        <v>4167</v>
      </c>
      <c r="Q743" s="5" t="s">
        <v>4162</v>
      </c>
      <c r="R743" s="5" t="s">
        <v>42</v>
      </c>
      <c r="S743" s="5" t="s">
        <v>4163</v>
      </c>
      <c r="T743" s="30"/>
      <c r="U743" s="8" t="s">
        <v>2527</v>
      </c>
      <c r="V743" s="8" t="s">
        <v>4164</v>
      </c>
    </row>
    <row r="744" spans="2:22" x14ac:dyDescent="0.3">
      <c r="B744" s="22">
        <v>737</v>
      </c>
      <c r="C744" s="8" t="s">
        <v>8</v>
      </c>
      <c r="D744" s="5" t="s">
        <v>4143</v>
      </c>
      <c r="E744" s="5" t="s">
        <v>4168</v>
      </c>
      <c r="F744" s="5" t="s">
        <v>55</v>
      </c>
      <c r="G744" s="5" t="s">
        <v>3979</v>
      </c>
      <c r="H744" s="5" t="s">
        <v>4169</v>
      </c>
      <c r="I744" s="5" t="s">
        <v>51</v>
      </c>
      <c r="J744" s="5">
        <v>2004</v>
      </c>
      <c r="K744" s="150">
        <v>0</v>
      </c>
      <c r="L744" s="31">
        <v>120</v>
      </c>
      <c r="M744" s="150">
        <v>0</v>
      </c>
      <c r="N744" s="31">
        <f t="shared" si="15"/>
        <v>120</v>
      </c>
      <c r="O744" s="15" t="s">
        <v>4170</v>
      </c>
      <c r="P744" s="15" t="s">
        <v>4171</v>
      </c>
      <c r="Q744" s="5" t="s">
        <v>4162</v>
      </c>
      <c r="R744" s="5" t="s">
        <v>42</v>
      </c>
      <c r="S744" s="5" t="s">
        <v>4163</v>
      </c>
      <c r="T744" s="161"/>
      <c r="U744" s="8" t="s">
        <v>2527</v>
      </c>
      <c r="V744" s="8" t="s">
        <v>4164</v>
      </c>
    </row>
    <row r="745" spans="2:22" x14ac:dyDescent="0.3">
      <c r="B745" s="22">
        <v>738</v>
      </c>
      <c r="C745" s="8" t="s">
        <v>8</v>
      </c>
      <c r="D745" s="5" t="s">
        <v>4133</v>
      </c>
      <c r="E745" s="5" t="s">
        <v>4172</v>
      </c>
      <c r="F745" s="5" t="s">
        <v>243</v>
      </c>
      <c r="G745" s="5" t="s">
        <v>440</v>
      </c>
      <c r="H745" s="5" t="s">
        <v>4136</v>
      </c>
      <c r="I745" s="5" t="s">
        <v>235</v>
      </c>
      <c r="J745" s="5">
        <v>2022</v>
      </c>
      <c r="K745" s="150">
        <v>0</v>
      </c>
      <c r="L745" s="31">
        <v>30</v>
      </c>
      <c r="M745" s="150">
        <v>0</v>
      </c>
      <c r="N745" s="31">
        <f t="shared" si="15"/>
        <v>30</v>
      </c>
      <c r="O745" s="15">
        <v>0</v>
      </c>
      <c r="P745" s="15">
        <v>0</v>
      </c>
      <c r="Q745" s="5"/>
      <c r="R745" s="5"/>
      <c r="S745" s="5"/>
      <c r="T745" s="5"/>
      <c r="U745" s="5" t="s">
        <v>4141</v>
      </c>
      <c r="V745" s="5" t="s">
        <v>4142</v>
      </c>
    </row>
    <row r="746" spans="2:22" x14ac:dyDescent="0.3">
      <c r="B746" s="22">
        <v>739</v>
      </c>
      <c r="C746" s="8" t="s">
        <v>8</v>
      </c>
      <c r="D746" s="8" t="s">
        <v>4173</v>
      </c>
      <c r="E746" s="8" t="s">
        <v>4174</v>
      </c>
      <c r="F746" s="8" t="s">
        <v>95</v>
      </c>
      <c r="G746" s="8" t="s">
        <v>4023</v>
      </c>
      <c r="H746" s="5" t="s">
        <v>4175</v>
      </c>
      <c r="I746" s="8" t="s">
        <v>4001</v>
      </c>
      <c r="J746" s="8">
        <v>2003</v>
      </c>
      <c r="K746" s="31">
        <v>0</v>
      </c>
      <c r="L746" s="31">
        <v>70</v>
      </c>
      <c r="M746" s="31">
        <v>0</v>
      </c>
      <c r="N746" s="31">
        <f t="shared" si="15"/>
        <v>70</v>
      </c>
      <c r="O746" s="162">
        <v>0</v>
      </c>
      <c r="P746" s="24">
        <v>0</v>
      </c>
      <c r="Q746" s="8" t="s">
        <v>4176</v>
      </c>
      <c r="R746" s="8" t="s">
        <v>42</v>
      </c>
      <c r="S746" s="8" t="s">
        <v>4177</v>
      </c>
      <c r="T746" s="8"/>
      <c r="U746" s="8" t="s">
        <v>4178</v>
      </c>
      <c r="V746" s="5" t="s">
        <v>4179</v>
      </c>
    </row>
    <row r="747" spans="2:22" x14ac:dyDescent="0.3">
      <c r="B747" s="22">
        <v>740</v>
      </c>
      <c r="C747" s="8" t="s">
        <v>8</v>
      </c>
      <c r="D747" s="8" t="s">
        <v>4173</v>
      </c>
      <c r="E747" s="8" t="s">
        <v>4180</v>
      </c>
      <c r="F747" s="8" t="s">
        <v>1243</v>
      </c>
      <c r="G747" s="8" t="s">
        <v>4181</v>
      </c>
      <c r="H747" s="5" t="s">
        <v>4182</v>
      </c>
      <c r="I747" s="8" t="s">
        <v>4001</v>
      </c>
      <c r="J747" s="8">
        <v>2000</v>
      </c>
      <c r="K747" s="31">
        <v>0</v>
      </c>
      <c r="L747" s="31">
        <v>650</v>
      </c>
      <c r="M747" s="31">
        <v>0</v>
      </c>
      <c r="N747" s="31">
        <f t="shared" si="15"/>
        <v>650</v>
      </c>
      <c r="O747" s="163" t="s">
        <v>4183</v>
      </c>
      <c r="P747" s="24">
        <v>0</v>
      </c>
      <c r="Q747" s="8" t="s">
        <v>4176</v>
      </c>
      <c r="R747" s="8" t="s">
        <v>42</v>
      </c>
      <c r="S747" s="8" t="s">
        <v>4177</v>
      </c>
      <c r="T747" s="8"/>
      <c r="U747" s="8" t="s">
        <v>4178</v>
      </c>
      <c r="V747" s="5" t="s">
        <v>4179</v>
      </c>
    </row>
    <row r="748" spans="2:22" x14ac:dyDescent="0.3">
      <c r="B748" s="22">
        <v>741</v>
      </c>
      <c r="C748" s="8" t="s">
        <v>8</v>
      </c>
      <c r="D748" s="8" t="s">
        <v>4184</v>
      </c>
      <c r="E748" s="8" t="s">
        <v>4185</v>
      </c>
      <c r="F748" s="8" t="s">
        <v>95</v>
      </c>
      <c r="G748" s="8" t="s">
        <v>560</v>
      </c>
      <c r="H748" s="8" t="s">
        <v>4186</v>
      </c>
      <c r="I748" s="8" t="s">
        <v>67</v>
      </c>
      <c r="J748" s="8">
        <v>2006</v>
      </c>
      <c r="K748" s="31">
        <v>30</v>
      </c>
      <c r="L748" s="31">
        <v>770</v>
      </c>
      <c r="M748" s="31">
        <v>0</v>
      </c>
      <c r="N748" s="31">
        <f t="shared" si="15"/>
        <v>800</v>
      </c>
      <c r="O748" s="24" t="s">
        <v>4187</v>
      </c>
      <c r="P748" s="24">
        <v>0</v>
      </c>
      <c r="Q748" s="8"/>
      <c r="R748" s="8"/>
      <c r="S748" s="164"/>
      <c r="T748" s="8" t="s">
        <v>43</v>
      </c>
      <c r="U748" s="8" t="s">
        <v>4188</v>
      </c>
      <c r="V748" s="8" t="s">
        <v>4189</v>
      </c>
    </row>
    <row r="749" spans="2:22" x14ac:dyDescent="0.3">
      <c r="B749" s="22">
        <v>742</v>
      </c>
      <c r="C749" s="8" t="s">
        <v>8</v>
      </c>
      <c r="D749" s="8" t="s">
        <v>4184</v>
      </c>
      <c r="E749" s="8" t="s">
        <v>4190</v>
      </c>
      <c r="F749" s="8" t="s">
        <v>1243</v>
      </c>
      <c r="G749" s="8" t="s">
        <v>857</v>
      </c>
      <c r="H749" s="8" t="s">
        <v>4191</v>
      </c>
      <c r="I749" s="8" t="s">
        <v>51</v>
      </c>
      <c r="J749" s="8">
        <v>2022</v>
      </c>
      <c r="K749" s="31">
        <v>0</v>
      </c>
      <c r="L749" s="31">
        <v>275</v>
      </c>
      <c r="M749" s="31">
        <v>0</v>
      </c>
      <c r="N749" s="31">
        <f t="shared" si="15"/>
        <v>275</v>
      </c>
      <c r="O749" s="24">
        <v>0</v>
      </c>
      <c r="P749" s="24">
        <v>0</v>
      </c>
      <c r="Q749" s="8"/>
      <c r="R749" s="8"/>
      <c r="S749" s="8"/>
      <c r="T749" s="8"/>
      <c r="U749" s="8" t="s">
        <v>4192</v>
      </c>
      <c r="V749" s="8" t="s">
        <v>4193</v>
      </c>
    </row>
    <row r="750" spans="2:22" x14ac:dyDescent="0.3">
      <c r="B750" s="22">
        <v>743</v>
      </c>
      <c r="C750" s="8" t="s">
        <v>8</v>
      </c>
      <c r="D750" s="8" t="s">
        <v>4194</v>
      </c>
      <c r="E750" s="8" t="s">
        <v>4195</v>
      </c>
      <c r="F750" s="8" t="s">
        <v>55</v>
      </c>
      <c r="G750" s="8" t="s">
        <v>4196</v>
      </c>
      <c r="H750" s="8" t="s">
        <v>4197</v>
      </c>
      <c r="I750" s="8" t="s">
        <v>67</v>
      </c>
      <c r="J750" s="8">
        <v>2017</v>
      </c>
      <c r="K750" s="31">
        <v>0</v>
      </c>
      <c r="L750" s="31">
        <v>200</v>
      </c>
      <c r="M750" s="31">
        <v>100</v>
      </c>
      <c r="N750" s="31">
        <f t="shared" si="15"/>
        <v>300</v>
      </c>
      <c r="O750" s="10" t="s">
        <v>4198</v>
      </c>
      <c r="P750" s="10">
        <v>0</v>
      </c>
      <c r="Q750" s="8"/>
      <c r="R750" s="8"/>
      <c r="S750" s="8"/>
      <c r="T750" s="8"/>
      <c r="U750" s="8" t="s">
        <v>4199</v>
      </c>
      <c r="V750" s="8" t="s">
        <v>4200</v>
      </c>
    </row>
    <row r="751" spans="2:22" x14ac:dyDescent="0.3">
      <c r="B751" s="22">
        <v>744</v>
      </c>
      <c r="C751" s="8" t="s">
        <v>8</v>
      </c>
      <c r="D751" s="8" t="s">
        <v>4194</v>
      </c>
      <c r="E751" s="8" t="s">
        <v>4201</v>
      </c>
      <c r="F751" s="8" t="s">
        <v>50</v>
      </c>
      <c r="G751" s="8" t="s">
        <v>560</v>
      </c>
      <c r="H751" s="8" t="s">
        <v>4202</v>
      </c>
      <c r="I751" s="8" t="s">
        <v>67</v>
      </c>
      <c r="J751" s="8">
        <v>2019</v>
      </c>
      <c r="K751" s="31">
        <v>0</v>
      </c>
      <c r="L751" s="31">
        <v>100</v>
      </c>
      <c r="M751" s="31">
        <v>0</v>
      </c>
      <c r="N751" s="31">
        <f t="shared" si="15"/>
        <v>100</v>
      </c>
      <c r="O751" s="10">
        <v>0</v>
      </c>
      <c r="P751" s="10">
        <v>0</v>
      </c>
      <c r="Q751" s="8"/>
      <c r="R751" s="8"/>
      <c r="S751" s="8"/>
      <c r="T751" s="8"/>
      <c r="U751" s="8" t="s">
        <v>4199</v>
      </c>
      <c r="V751" s="8" t="s">
        <v>4200</v>
      </c>
    </row>
    <row r="752" spans="2:22" x14ac:dyDescent="0.3">
      <c r="B752" s="22">
        <v>745</v>
      </c>
      <c r="C752" s="8" t="s">
        <v>8</v>
      </c>
      <c r="D752" s="8" t="s">
        <v>4194</v>
      </c>
      <c r="E752" s="8" t="s">
        <v>4203</v>
      </c>
      <c r="F752" s="8" t="s">
        <v>55</v>
      </c>
      <c r="G752" s="8" t="s">
        <v>440</v>
      </c>
      <c r="H752" s="8" t="s">
        <v>4204</v>
      </c>
      <c r="I752" s="8" t="s">
        <v>67</v>
      </c>
      <c r="J752" s="8">
        <v>2020</v>
      </c>
      <c r="K752" s="31">
        <v>0</v>
      </c>
      <c r="L752" s="31">
        <v>50</v>
      </c>
      <c r="M752" s="31">
        <v>0</v>
      </c>
      <c r="N752" s="31">
        <f t="shared" si="15"/>
        <v>50</v>
      </c>
      <c r="O752" s="10" t="s">
        <v>4205</v>
      </c>
      <c r="P752" s="10">
        <v>0</v>
      </c>
      <c r="Q752" s="8"/>
      <c r="R752" s="8"/>
      <c r="S752" s="8"/>
      <c r="T752" s="8"/>
      <c r="U752" s="8" t="s">
        <v>4206</v>
      </c>
      <c r="V752" s="8" t="s">
        <v>4207</v>
      </c>
    </row>
    <row r="753" spans="2:22" x14ac:dyDescent="0.3">
      <c r="B753" s="22">
        <v>746</v>
      </c>
      <c r="C753" s="8" t="s">
        <v>8</v>
      </c>
      <c r="D753" s="8" t="s">
        <v>4208</v>
      </c>
      <c r="E753" s="8" t="s">
        <v>4209</v>
      </c>
      <c r="F753" s="8" t="s">
        <v>390</v>
      </c>
      <c r="G753" s="8" t="s">
        <v>4009</v>
      </c>
      <c r="H753" s="8" t="s">
        <v>4210</v>
      </c>
      <c r="I753" s="8" t="s">
        <v>51</v>
      </c>
      <c r="J753" s="8">
        <v>2005</v>
      </c>
      <c r="K753" s="31">
        <v>0</v>
      </c>
      <c r="L753" s="31">
        <v>490</v>
      </c>
      <c r="M753" s="31">
        <v>0</v>
      </c>
      <c r="N753" s="31">
        <f t="shared" si="15"/>
        <v>490</v>
      </c>
      <c r="O753" s="10" t="s">
        <v>1732</v>
      </c>
      <c r="P753" s="10">
        <v>0</v>
      </c>
      <c r="Q753" s="8" t="s">
        <v>4211</v>
      </c>
      <c r="R753" s="8" t="s">
        <v>395</v>
      </c>
      <c r="S753" s="8"/>
      <c r="T753" s="8"/>
      <c r="U753" s="8" t="s">
        <v>4212</v>
      </c>
      <c r="V753" s="8" t="s">
        <v>4213</v>
      </c>
    </row>
    <row r="754" spans="2:22" x14ac:dyDescent="0.3">
      <c r="B754" s="22">
        <v>747</v>
      </c>
      <c r="C754" s="8" t="s">
        <v>8</v>
      </c>
      <c r="D754" s="8" t="s">
        <v>4208</v>
      </c>
      <c r="E754" s="8" t="s">
        <v>4214</v>
      </c>
      <c r="F754" s="8" t="s">
        <v>390</v>
      </c>
      <c r="G754" s="8" t="s">
        <v>4215</v>
      </c>
      <c r="H754" s="8" t="s">
        <v>4210</v>
      </c>
      <c r="I754" s="8" t="s">
        <v>51</v>
      </c>
      <c r="J754" s="8">
        <v>1997</v>
      </c>
      <c r="K754" s="31">
        <v>0</v>
      </c>
      <c r="L754" s="31">
        <v>684</v>
      </c>
      <c r="M754" s="31">
        <v>0</v>
      </c>
      <c r="N754" s="31">
        <f t="shared" si="15"/>
        <v>684</v>
      </c>
      <c r="O754" s="10" t="s">
        <v>1772</v>
      </c>
      <c r="P754" s="10">
        <v>0</v>
      </c>
      <c r="Q754" s="8" t="s">
        <v>4216</v>
      </c>
      <c r="R754" s="8" t="s">
        <v>395</v>
      </c>
      <c r="S754" s="8"/>
      <c r="T754" s="8"/>
      <c r="U754" s="8" t="s">
        <v>4212</v>
      </c>
      <c r="V754" s="8" t="s">
        <v>4213</v>
      </c>
    </row>
    <row r="755" spans="2:22" x14ac:dyDescent="0.3">
      <c r="B755" s="22">
        <v>748</v>
      </c>
      <c r="C755" s="8" t="s">
        <v>8</v>
      </c>
      <c r="D755" s="8" t="s">
        <v>4208</v>
      </c>
      <c r="E755" s="8" t="s">
        <v>4217</v>
      </c>
      <c r="F755" s="8" t="s">
        <v>55</v>
      </c>
      <c r="G755" s="8" t="s">
        <v>440</v>
      </c>
      <c r="H755" s="8" t="s">
        <v>4218</v>
      </c>
      <c r="I755" s="8" t="s">
        <v>67</v>
      </c>
      <c r="J755" s="8">
        <v>2011</v>
      </c>
      <c r="K755" s="31">
        <v>0</v>
      </c>
      <c r="L755" s="31">
        <v>281</v>
      </c>
      <c r="M755" s="31">
        <v>0</v>
      </c>
      <c r="N755" s="31">
        <f t="shared" si="15"/>
        <v>281</v>
      </c>
      <c r="O755" s="24" t="s">
        <v>4219</v>
      </c>
      <c r="P755" s="24">
        <v>0</v>
      </c>
      <c r="Q755" s="8" t="s">
        <v>4220</v>
      </c>
      <c r="R755" s="8" t="s">
        <v>42</v>
      </c>
      <c r="S755" s="8" t="s">
        <v>4221</v>
      </c>
      <c r="T755" s="8"/>
      <c r="U755" s="8" t="s">
        <v>4222</v>
      </c>
      <c r="V755" s="8" t="s">
        <v>4223</v>
      </c>
    </row>
    <row r="756" spans="2:22" x14ac:dyDescent="0.3">
      <c r="B756" s="22">
        <v>749</v>
      </c>
      <c r="C756" s="8" t="s">
        <v>8</v>
      </c>
      <c r="D756" s="8" t="s">
        <v>4208</v>
      </c>
      <c r="E756" s="8" t="s">
        <v>4224</v>
      </c>
      <c r="F756" s="8" t="s">
        <v>55</v>
      </c>
      <c r="G756" s="8" t="s">
        <v>3083</v>
      </c>
      <c r="H756" s="8" t="s">
        <v>4218</v>
      </c>
      <c r="I756" s="8" t="s">
        <v>67</v>
      </c>
      <c r="J756" s="8">
        <v>2003</v>
      </c>
      <c r="K756" s="31">
        <v>200</v>
      </c>
      <c r="L756" s="31">
        <v>64</v>
      </c>
      <c r="M756" s="31">
        <v>30</v>
      </c>
      <c r="N756" s="31">
        <f t="shared" si="15"/>
        <v>294</v>
      </c>
      <c r="O756" s="24" t="s">
        <v>4225</v>
      </c>
      <c r="P756" s="24">
        <v>0</v>
      </c>
      <c r="Q756" s="8" t="s">
        <v>4220</v>
      </c>
      <c r="R756" s="8" t="s">
        <v>42</v>
      </c>
      <c r="S756" s="8" t="s">
        <v>4221</v>
      </c>
      <c r="T756" s="8" t="s">
        <v>43</v>
      </c>
      <c r="U756" s="8" t="s">
        <v>4226</v>
      </c>
      <c r="V756" s="8" t="s">
        <v>4227</v>
      </c>
    </row>
    <row r="757" spans="2:22" x14ac:dyDescent="0.3">
      <c r="B757" s="22">
        <v>750</v>
      </c>
      <c r="C757" s="8" t="s">
        <v>8</v>
      </c>
      <c r="D757" s="8" t="s">
        <v>4208</v>
      </c>
      <c r="E757" s="8" t="s">
        <v>4228</v>
      </c>
      <c r="F757" s="8" t="s">
        <v>55</v>
      </c>
      <c r="G757" s="8" t="s">
        <v>4229</v>
      </c>
      <c r="H757" s="8" t="s">
        <v>4230</v>
      </c>
      <c r="I757" s="8" t="s">
        <v>67</v>
      </c>
      <c r="J757" s="8">
        <v>2005</v>
      </c>
      <c r="K757" s="31">
        <v>0</v>
      </c>
      <c r="L757" s="31">
        <v>84</v>
      </c>
      <c r="M757" s="31">
        <v>0</v>
      </c>
      <c r="N757" s="31">
        <f t="shared" si="15"/>
        <v>84</v>
      </c>
      <c r="O757" s="24" t="s">
        <v>4231</v>
      </c>
      <c r="P757" s="24">
        <v>0</v>
      </c>
      <c r="Q757" s="8" t="s">
        <v>4232</v>
      </c>
      <c r="R757" s="8" t="s">
        <v>173</v>
      </c>
      <c r="S757" s="8" t="s">
        <v>4233</v>
      </c>
      <c r="T757" s="8"/>
      <c r="U757" s="8" t="s">
        <v>4234</v>
      </c>
      <c r="V757" s="8" t="s">
        <v>4235</v>
      </c>
    </row>
    <row r="758" spans="2:22" x14ac:dyDescent="0.3">
      <c r="B758" s="22">
        <v>751</v>
      </c>
      <c r="C758" s="8" t="s">
        <v>8</v>
      </c>
      <c r="D758" s="8" t="s">
        <v>4208</v>
      </c>
      <c r="E758" s="8" t="s">
        <v>4236</v>
      </c>
      <c r="F758" s="8" t="s">
        <v>50</v>
      </c>
      <c r="G758" s="8" t="s">
        <v>440</v>
      </c>
      <c r="H758" s="8" t="s">
        <v>4237</v>
      </c>
      <c r="I758" s="8" t="s">
        <v>51</v>
      </c>
      <c r="J758" s="8">
        <v>1987</v>
      </c>
      <c r="K758" s="31">
        <v>0</v>
      </c>
      <c r="L758" s="31">
        <v>200</v>
      </c>
      <c r="M758" s="31">
        <v>0</v>
      </c>
      <c r="N758" s="31">
        <f t="shared" si="15"/>
        <v>200</v>
      </c>
      <c r="O758" s="24">
        <v>0</v>
      </c>
      <c r="P758" s="24">
        <v>0</v>
      </c>
      <c r="Q758" s="8" t="s">
        <v>4238</v>
      </c>
      <c r="R758" s="8" t="s">
        <v>173</v>
      </c>
      <c r="S758" s="8" t="s">
        <v>4239</v>
      </c>
      <c r="T758" s="8"/>
      <c r="U758" s="8" t="s">
        <v>4240</v>
      </c>
      <c r="V758" s="8" t="s">
        <v>4241</v>
      </c>
    </row>
    <row r="759" spans="2:22" x14ac:dyDescent="0.3">
      <c r="B759" s="22">
        <v>752</v>
      </c>
      <c r="C759" s="8" t="s">
        <v>8</v>
      </c>
      <c r="D759" s="8" t="s">
        <v>4242</v>
      </c>
      <c r="E759" s="8" t="s">
        <v>4243</v>
      </c>
      <c r="F759" s="8" t="s">
        <v>55</v>
      </c>
      <c r="G759" s="8" t="s">
        <v>4244</v>
      </c>
      <c r="H759" s="8" t="s">
        <v>4245</v>
      </c>
      <c r="I759" s="8" t="s">
        <v>67</v>
      </c>
      <c r="J759" s="8">
        <v>2002</v>
      </c>
      <c r="K759" s="31">
        <v>0</v>
      </c>
      <c r="L759" s="31">
        <v>770</v>
      </c>
      <c r="M759" s="31">
        <v>90</v>
      </c>
      <c r="N759" s="31">
        <f t="shared" si="15"/>
        <v>860</v>
      </c>
      <c r="O759" s="24" t="s">
        <v>4246</v>
      </c>
      <c r="P759" s="24" t="s">
        <v>4247</v>
      </c>
      <c r="Q759" s="8" t="s">
        <v>4248</v>
      </c>
      <c r="R759" s="8" t="s">
        <v>42</v>
      </c>
      <c r="S759" s="8" t="s">
        <v>4249</v>
      </c>
      <c r="T759" s="8"/>
      <c r="U759" s="8" t="s">
        <v>4250</v>
      </c>
      <c r="V759" s="8" t="s">
        <v>4251</v>
      </c>
    </row>
    <row r="760" spans="2:22" x14ac:dyDescent="0.3">
      <c r="B760" s="22">
        <v>753</v>
      </c>
      <c r="C760" s="8" t="s">
        <v>8</v>
      </c>
      <c r="D760" s="8" t="s">
        <v>4242</v>
      </c>
      <c r="E760" s="8" t="s">
        <v>4252</v>
      </c>
      <c r="F760" s="8" t="s">
        <v>55</v>
      </c>
      <c r="G760" s="8" t="s">
        <v>4253</v>
      </c>
      <c r="H760" s="8" t="s">
        <v>4245</v>
      </c>
      <c r="I760" s="8" t="s">
        <v>51</v>
      </c>
      <c r="J760" s="8">
        <v>2018</v>
      </c>
      <c r="K760" s="31">
        <v>0</v>
      </c>
      <c r="L760" s="31">
        <v>350</v>
      </c>
      <c r="M760" s="31">
        <v>0</v>
      </c>
      <c r="N760" s="31">
        <f t="shared" si="15"/>
        <v>350</v>
      </c>
      <c r="O760" s="24" t="s">
        <v>4254</v>
      </c>
      <c r="P760" s="24" t="s">
        <v>4255</v>
      </c>
      <c r="Q760" s="8" t="s">
        <v>4248</v>
      </c>
      <c r="R760" s="8" t="s">
        <v>42</v>
      </c>
      <c r="S760" s="8" t="s">
        <v>4249</v>
      </c>
      <c r="T760" s="8"/>
      <c r="U760" s="8" t="s">
        <v>4250</v>
      </c>
      <c r="V760" s="8" t="s">
        <v>4251</v>
      </c>
    </row>
    <row r="761" spans="2:22" x14ac:dyDescent="0.3">
      <c r="B761" s="22">
        <v>754</v>
      </c>
      <c r="C761" s="8" t="s">
        <v>8</v>
      </c>
      <c r="D761" s="8" t="s">
        <v>4256</v>
      </c>
      <c r="E761" s="8" t="s">
        <v>4257</v>
      </c>
      <c r="F761" s="8" t="s">
        <v>50</v>
      </c>
      <c r="G761" s="8" t="s">
        <v>1502</v>
      </c>
      <c r="H761" s="8" t="s">
        <v>4258</v>
      </c>
      <c r="I761" s="8" t="s">
        <v>51</v>
      </c>
      <c r="J761" s="8">
        <v>1986</v>
      </c>
      <c r="K761" s="31">
        <v>0</v>
      </c>
      <c r="L761" s="31">
        <v>225</v>
      </c>
      <c r="M761" s="31">
        <v>0</v>
      </c>
      <c r="N761" s="31">
        <f t="shared" si="15"/>
        <v>225</v>
      </c>
      <c r="O761" s="24">
        <v>0</v>
      </c>
      <c r="P761" s="24">
        <v>0</v>
      </c>
      <c r="Q761" s="8" t="s">
        <v>4259</v>
      </c>
      <c r="R761" s="8" t="s">
        <v>173</v>
      </c>
      <c r="S761" s="8" t="s">
        <v>4260</v>
      </c>
      <c r="T761" s="8"/>
      <c r="U761" s="8" t="s">
        <v>4261</v>
      </c>
      <c r="V761" s="8" t="s">
        <v>4262</v>
      </c>
    </row>
    <row r="762" spans="2:22" x14ac:dyDescent="0.3">
      <c r="B762" s="22">
        <v>755</v>
      </c>
      <c r="C762" s="8" t="s">
        <v>8</v>
      </c>
      <c r="D762" s="8" t="s">
        <v>4263</v>
      </c>
      <c r="E762" s="8" t="s">
        <v>4264</v>
      </c>
      <c r="F762" s="8" t="s">
        <v>50</v>
      </c>
      <c r="G762" s="8" t="s">
        <v>4265</v>
      </c>
      <c r="H762" s="8" t="s">
        <v>4266</v>
      </c>
      <c r="I762" s="8" t="s">
        <v>67</v>
      </c>
      <c r="J762" s="8">
        <v>1996</v>
      </c>
      <c r="K762" s="31">
        <v>0</v>
      </c>
      <c r="L762" s="31">
        <v>570</v>
      </c>
      <c r="M762" s="31">
        <v>0</v>
      </c>
      <c r="N762" s="31">
        <f t="shared" si="15"/>
        <v>570</v>
      </c>
      <c r="O762" s="24">
        <v>0</v>
      </c>
      <c r="P762" s="24">
        <v>0</v>
      </c>
      <c r="Q762" s="8" t="s">
        <v>4267</v>
      </c>
      <c r="R762" s="8" t="s">
        <v>42</v>
      </c>
      <c r="S762" s="8" t="s">
        <v>4268</v>
      </c>
      <c r="T762" s="8"/>
      <c r="U762" s="8" t="s">
        <v>4269</v>
      </c>
      <c r="V762" s="8" t="s">
        <v>4270</v>
      </c>
    </row>
    <row r="763" spans="2:22" x14ac:dyDescent="0.3">
      <c r="B763" s="22">
        <v>756</v>
      </c>
      <c r="C763" s="8" t="s">
        <v>8</v>
      </c>
      <c r="D763" s="8" t="s">
        <v>4263</v>
      </c>
      <c r="E763" s="8" t="s">
        <v>4271</v>
      </c>
      <c r="F763" s="8" t="s">
        <v>55</v>
      </c>
      <c r="G763" s="8" t="s">
        <v>3083</v>
      </c>
      <c r="H763" s="8" t="s">
        <v>4272</v>
      </c>
      <c r="I763" s="8" t="s">
        <v>67</v>
      </c>
      <c r="J763" s="8">
        <v>1997</v>
      </c>
      <c r="K763" s="31">
        <v>0</v>
      </c>
      <c r="L763" s="31">
        <v>590</v>
      </c>
      <c r="M763" s="31">
        <v>0</v>
      </c>
      <c r="N763" s="31">
        <f t="shared" si="15"/>
        <v>590</v>
      </c>
      <c r="O763" s="24">
        <v>0</v>
      </c>
      <c r="P763" s="24">
        <v>0</v>
      </c>
      <c r="Q763" s="8" t="s">
        <v>4267</v>
      </c>
      <c r="R763" s="8" t="s">
        <v>42</v>
      </c>
      <c r="S763" s="8" t="s">
        <v>4268</v>
      </c>
      <c r="T763" s="8"/>
      <c r="U763" s="8" t="s">
        <v>4269</v>
      </c>
      <c r="V763" s="8" t="s">
        <v>4270</v>
      </c>
    </row>
    <row r="764" spans="2:22" x14ac:dyDescent="0.3">
      <c r="B764" s="22">
        <v>757</v>
      </c>
      <c r="C764" s="8" t="s">
        <v>8</v>
      </c>
      <c r="D764" s="8" t="s">
        <v>4263</v>
      </c>
      <c r="E764" s="8" t="s">
        <v>4273</v>
      </c>
      <c r="F764" s="8" t="s">
        <v>55</v>
      </c>
      <c r="G764" s="8" t="s">
        <v>4274</v>
      </c>
      <c r="H764" s="8" t="s">
        <v>4275</v>
      </c>
      <c r="I764" s="8" t="s">
        <v>67</v>
      </c>
      <c r="J764" s="8">
        <v>2021</v>
      </c>
      <c r="K764" s="31">
        <v>0</v>
      </c>
      <c r="L764" s="31">
        <v>120</v>
      </c>
      <c r="M764" s="31">
        <v>0</v>
      </c>
      <c r="N764" s="31">
        <f t="shared" si="15"/>
        <v>120</v>
      </c>
      <c r="O764" s="24" t="s">
        <v>4276</v>
      </c>
      <c r="P764" s="24">
        <v>0</v>
      </c>
      <c r="Q764" s="8" t="s">
        <v>4267</v>
      </c>
      <c r="R764" s="8" t="s">
        <v>42</v>
      </c>
      <c r="S764" s="8" t="s">
        <v>4268</v>
      </c>
      <c r="T764" s="8"/>
      <c r="U764" s="8" t="s">
        <v>4277</v>
      </c>
      <c r="V764" s="8" t="s">
        <v>4278</v>
      </c>
    </row>
    <row r="765" spans="2:22" x14ac:dyDescent="0.3">
      <c r="B765" s="22">
        <v>758</v>
      </c>
      <c r="C765" s="8" t="s">
        <v>8</v>
      </c>
      <c r="D765" s="8" t="s">
        <v>4263</v>
      </c>
      <c r="E765" s="8" t="s">
        <v>4279</v>
      </c>
      <c r="F765" s="8" t="s">
        <v>390</v>
      </c>
      <c r="G765" s="8" t="s">
        <v>4280</v>
      </c>
      <c r="H765" s="8" t="s">
        <v>4281</v>
      </c>
      <c r="I765" s="8" t="s">
        <v>51</v>
      </c>
      <c r="J765" s="8">
        <v>2022</v>
      </c>
      <c r="K765" s="31">
        <v>0</v>
      </c>
      <c r="L765" s="31">
        <v>38</v>
      </c>
      <c r="M765" s="31">
        <v>0</v>
      </c>
      <c r="N765" s="31">
        <f t="shared" si="15"/>
        <v>38</v>
      </c>
      <c r="O765" s="24">
        <v>0</v>
      </c>
      <c r="P765" s="24">
        <v>0</v>
      </c>
      <c r="Q765" s="8" t="s">
        <v>4282</v>
      </c>
      <c r="R765" s="8" t="s">
        <v>888</v>
      </c>
      <c r="S765" s="8" t="s">
        <v>4283</v>
      </c>
      <c r="T765" s="8"/>
      <c r="U765" s="8" t="s">
        <v>4284</v>
      </c>
      <c r="V765" s="8" t="s">
        <v>4285</v>
      </c>
    </row>
    <row r="766" spans="2:22" x14ac:dyDescent="0.3">
      <c r="B766" s="22">
        <v>759</v>
      </c>
      <c r="C766" s="8" t="s">
        <v>8</v>
      </c>
      <c r="D766" s="8" t="s">
        <v>4263</v>
      </c>
      <c r="E766" s="8" t="s">
        <v>4286</v>
      </c>
      <c r="F766" s="8" t="s">
        <v>390</v>
      </c>
      <c r="G766" s="8" t="s">
        <v>4274</v>
      </c>
      <c r="H766" s="8" t="s">
        <v>4287</v>
      </c>
      <c r="I766" s="8" t="s">
        <v>51</v>
      </c>
      <c r="J766" s="8">
        <v>2003</v>
      </c>
      <c r="K766" s="31">
        <v>0</v>
      </c>
      <c r="L766" s="31">
        <v>160</v>
      </c>
      <c r="M766" s="31">
        <v>40</v>
      </c>
      <c r="N766" s="31">
        <f t="shared" si="15"/>
        <v>200</v>
      </c>
      <c r="O766" s="24">
        <v>0</v>
      </c>
      <c r="P766" s="24">
        <v>0</v>
      </c>
      <c r="Q766" s="8" t="s">
        <v>4288</v>
      </c>
      <c r="R766" s="8" t="s">
        <v>395</v>
      </c>
      <c r="S766" s="8" t="s">
        <v>4289</v>
      </c>
      <c r="T766" s="8"/>
      <c r="U766" s="8" t="s">
        <v>4290</v>
      </c>
      <c r="V766" s="8" t="s">
        <v>4291</v>
      </c>
    </row>
    <row r="767" spans="2:22" x14ac:dyDescent="0.3">
      <c r="B767" s="22">
        <v>760</v>
      </c>
      <c r="C767" s="8" t="s">
        <v>8</v>
      </c>
      <c r="D767" s="8" t="s">
        <v>4292</v>
      </c>
      <c r="E767" s="8" t="s">
        <v>4293</v>
      </c>
      <c r="F767" s="8" t="s">
        <v>55</v>
      </c>
      <c r="G767" s="8" t="s">
        <v>220</v>
      </c>
      <c r="H767" s="8" t="s">
        <v>4294</v>
      </c>
      <c r="I767" s="8" t="s">
        <v>51</v>
      </c>
      <c r="J767" s="8">
        <v>1992</v>
      </c>
      <c r="K767" s="31">
        <v>0</v>
      </c>
      <c r="L767" s="31">
        <v>70</v>
      </c>
      <c r="M767" s="31">
        <v>0</v>
      </c>
      <c r="N767" s="31">
        <f t="shared" si="15"/>
        <v>70</v>
      </c>
      <c r="O767" s="24">
        <v>0</v>
      </c>
      <c r="P767" s="24">
        <v>0</v>
      </c>
      <c r="Q767" s="8" t="s">
        <v>4295</v>
      </c>
      <c r="R767" s="8" t="s">
        <v>173</v>
      </c>
      <c r="S767" s="8" t="s">
        <v>4296</v>
      </c>
      <c r="T767" s="8"/>
      <c r="U767" s="8" t="s">
        <v>4297</v>
      </c>
      <c r="V767" s="8" t="s">
        <v>4298</v>
      </c>
    </row>
    <row r="768" spans="2:22" x14ac:dyDescent="0.3">
      <c r="B768" s="22">
        <v>761</v>
      </c>
      <c r="C768" s="8" t="s">
        <v>8</v>
      </c>
      <c r="D768" s="8" t="s">
        <v>4292</v>
      </c>
      <c r="E768" s="8" t="s">
        <v>4299</v>
      </c>
      <c r="F768" s="8" t="s">
        <v>55</v>
      </c>
      <c r="G768" s="8" t="s">
        <v>440</v>
      </c>
      <c r="H768" s="8" t="s">
        <v>4001</v>
      </c>
      <c r="I768" s="8" t="s">
        <v>51</v>
      </c>
      <c r="J768" s="8">
        <v>2007</v>
      </c>
      <c r="K768" s="31">
        <v>0</v>
      </c>
      <c r="L768" s="31">
        <v>70</v>
      </c>
      <c r="M768" s="31">
        <v>0</v>
      </c>
      <c r="N768" s="31">
        <f t="shared" si="15"/>
        <v>70</v>
      </c>
      <c r="O768" s="24">
        <v>0</v>
      </c>
      <c r="P768" s="24">
        <v>0</v>
      </c>
      <c r="Q768" s="8" t="s">
        <v>4300</v>
      </c>
      <c r="R768" s="8" t="s">
        <v>888</v>
      </c>
      <c r="S768" s="8" t="s">
        <v>4301</v>
      </c>
      <c r="T768" s="8"/>
      <c r="U768" s="8" t="s">
        <v>4302</v>
      </c>
      <c r="V768" s="8" t="s">
        <v>4303</v>
      </c>
    </row>
    <row r="769" spans="2:22" x14ac:dyDescent="0.3">
      <c r="B769" s="22">
        <v>762</v>
      </c>
      <c r="C769" s="8" t="s">
        <v>8</v>
      </c>
      <c r="D769" s="8" t="s">
        <v>4292</v>
      </c>
      <c r="E769" s="8" t="s">
        <v>4304</v>
      </c>
      <c r="F769" s="8" t="s">
        <v>55</v>
      </c>
      <c r="G769" s="8" t="s">
        <v>440</v>
      </c>
      <c r="H769" s="8" t="s">
        <v>4001</v>
      </c>
      <c r="I769" s="8" t="s">
        <v>51</v>
      </c>
      <c r="J769" s="8">
        <v>1991</v>
      </c>
      <c r="K769" s="31">
        <v>0</v>
      </c>
      <c r="L769" s="31">
        <v>149</v>
      </c>
      <c r="M769" s="31">
        <v>0</v>
      </c>
      <c r="N769" s="31">
        <f t="shared" si="15"/>
        <v>149</v>
      </c>
      <c r="O769" s="24">
        <v>0</v>
      </c>
      <c r="P769" s="24">
        <v>0</v>
      </c>
      <c r="Q769" s="8" t="s">
        <v>4305</v>
      </c>
      <c r="R769" s="8" t="s">
        <v>888</v>
      </c>
      <c r="S769" s="8" t="s">
        <v>4306</v>
      </c>
      <c r="T769" s="8"/>
      <c r="U769" s="8" t="s">
        <v>4307</v>
      </c>
      <c r="V769" s="8" t="s">
        <v>4308</v>
      </c>
    </row>
    <row r="770" spans="2:22" x14ac:dyDescent="0.3">
      <c r="B770" s="22">
        <v>763</v>
      </c>
      <c r="C770" s="8" t="s">
        <v>8</v>
      </c>
      <c r="D770" s="8" t="s">
        <v>4292</v>
      </c>
      <c r="E770" s="8" t="s">
        <v>4309</v>
      </c>
      <c r="F770" s="8" t="s">
        <v>55</v>
      </c>
      <c r="G770" s="8" t="s">
        <v>4310</v>
      </c>
      <c r="H770" s="8" t="s">
        <v>4001</v>
      </c>
      <c r="I770" s="8" t="s">
        <v>51</v>
      </c>
      <c r="J770" s="8">
        <v>2022</v>
      </c>
      <c r="K770" s="31">
        <v>0</v>
      </c>
      <c r="L770" s="31">
        <v>300</v>
      </c>
      <c r="M770" s="31">
        <v>0</v>
      </c>
      <c r="N770" s="31">
        <f t="shared" si="15"/>
        <v>300</v>
      </c>
      <c r="O770" s="24">
        <v>0</v>
      </c>
      <c r="P770" s="24">
        <v>0</v>
      </c>
      <c r="Q770" s="8"/>
      <c r="R770" s="8"/>
      <c r="S770" s="8"/>
      <c r="T770" s="8"/>
      <c r="U770" s="8" t="s">
        <v>4307</v>
      </c>
      <c r="V770" s="8" t="s">
        <v>4308</v>
      </c>
    </row>
    <row r="771" spans="2:22" x14ac:dyDescent="0.3">
      <c r="B771" s="22">
        <v>764</v>
      </c>
      <c r="C771" s="8" t="s">
        <v>8</v>
      </c>
      <c r="D771" s="8" t="s">
        <v>4311</v>
      </c>
      <c r="E771" s="8" t="s">
        <v>4312</v>
      </c>
      <c r="F771" s="8" t="s">
        <v>50</v>
      </c>
      <c r="G771" s="8" t="s">
        <v>560</v>
      </c>
      <c r="H771" s="8" t="s">
        <v>4001</v>
      </c>
      <c r="I771" s="8" t="s">
        <v>67</v>
      </c>
      <c r="J771" s="8">
        <v>1996</v>
      </c>
      <c r="K771" s="31">
        <v>0</v>
      </c>
      <c r="L771" s="31">
        <v>200</v>
      </c>
      <c r="M771" s="31">
        <v>0</v>
      </c>
      <c r="N771" s="31">
        <f t="shared" si="15"/>
        <v>200</v>
      </c>
      <c r="O771" s="24" t="s">
        <v>4313</v>
      </c>
      <c r="P771" s="24">
        <v>0</v>
      </c>
      <c r="Q771" s="8" t="s">
        <v>4314</v>
      </c>
      <c r="R771" s="8" t="s">
        <v>42</v>
      </c>
      <c r="S771" s="8" t="s">
        <v>4315</v>
      </c>
      <c r="T771" s="8"/>
      <c r="U771" s="8" t="s">
        <v>4316</v>
      </c>
      <c r="V771" s="8" t="s">
        <v>4317</v>
      </c>
    </row>
    <row r="772" spans="2:22" x14ac:dyDescent="0.3">
      <c r="B772" s="22">
        <v>765</v>
      </c>
      <c r="C772" s="8" t="s">
        <v>8</v>
      </c>
      <c r="D772" s="8" t="s">
        <v>4318</v>
      </c>
      <c r="E772" s="8" t="s">
        <v>4319</v>
      </c>
      <c r="F772" s="8" t="s">
        <v>95</v>
      </c>
      <c r="G772" s="8" t="s">
        <v>223</v>
      </c>
      <c r="H772" s="8" t="s">
        <v>4320</v>
      </c>
      <c r="I772" s="8" t="s">
        <v>51</v>
      </c>
      <c r="J772" s="8">
        <v>2011</v>
      </c>
      <c r="K772" s="31">
        <v>0</v>
      </c>
      <c r="L772" s="31">
        <v>583</v>
      </c>
      <c r="M772" s="31">
        <v>0</v>
      </c>
      <c r="N772" s="31">
        <f t="shared" si="15"/>
        <v>583</v>
      </c>
      <c r="O772" s="24">
        <v>0</v>
      </c>
      <c r="P772" s="24">
        <v>0</v>
      </c>
      <c r="Q772" s="8" t="s">
        <v>4321</v>
      </c>
      <c r="R772" s="8" t="s">
        <v>42</v>
      </c>
      <c r="S772" s="8" t="s">
        <v>4322</v>
      </c>
      <c r="T772" s="8"/>
      <c r="U772" s="8" t="s">
        <v>4323</v>
      </c>
      <c r="V772" s="8" t="s">
        <v>4324</v>
      </c>
    </row>
    <row r="773" spans="2:22" x14ac:dyDescent="0.3">
      <c r="B773" s="22">
        <v>766</v>
      </c>
      <c r="C773" s="8" t="s">
        <v>8</v>
      </c>
      <c r="D773" s="8" t="s">
        <v>4325</v>
      </c>
      <c r="E773" s="8" t="s">
        <v>4326</v>
      </c>
      <c r="F773" s="8" t="s">
        <v>50</v>
      </c>
      <c r="G773" s="8" t="s">
        <v>4009</v>
      </c>
      <c r="H773" s="8" t="s">
        <v>4327</v>
      </c>
      <c r="I773" s="8" t="s">
        <v>67</v>
      </c>
      <c r="J773" s="8">
        <v>2010</v>
      </c>
      <c r="K773" s="31">
        <v>0</v>
      </c>
      <c r="L773" s="31">
        <v>590</v>
      </c>
      <c r="M773" s="31">
        <v>0</v>
      </c>
      <c r="N773" s="31">
        <f t="shared" si="15"/>
        <v>590</v>
      </c>
      <c r="O773" s="24">
        <v>0</v>
      </c>
      <c r="P773" s="24">
        <v>0</v>
      </c>
      <c r="Q773" s="8" t="s">
        <v>4328</v>
      </c>
      <c r="R773" s="8" t="s">
        <v>42</v>
      </c>
      <c r="S773" s="8" t="s">
        <v>4329</v>
      </c>
      <c r="T773" s="8"/>
      <c r="U773" s="8" t="s">
        <v>4330</v>
      </c>
      <c r="V773" s="8" t="s">
        <v>4331</v>
      </c>
    </row>
    <row r="774" spans="2:22" x14ac:dyDescent="0.3">
      <c r="B774" s="22">
        <v>767</v>
      </c>
      <c r="C774" s="8" t="s">
        <v>8</v>
      </c>
      <c r="D774" s="8" t="s">
        <v>4332</v>
      </c>
      <c r="E774" s="5" t="s">
        <v>4333</v>
      </c>
      <c r="F774" s="8" t="s">
        <v>50</v>
      </c>
      <c r="G774" s="5" t="s">
        <v>4334</v>
      </c>
      <c r="H774" s="5" t="s">
        <v>4335</v>
      </c>
      <c r="I774" s="5" t="s">
        <v>67</v>
      </c>
      <c r="J774" s="5">
        <v>2017</v>
      </c>
      <c r="K774" s="150">
        <v>0</v>
      </c>
      <c r="L774" s="31">
        <v>295</v>
      </c>
      <c r="M774" s="150">
        <v>0</v>
      </c>
      <c r="N774" s="31">
        <f t="shared" si="15"/>
        <v>295</v>
      </c>
      <c r="O774" s="151" t="s">
        <v>4336</v>
      </c>
      <c r="P774" s="151">
        <v>0</v>
      </c>
      <c r="Q774" s="8"/>
      <c r="R774" s="5"/>
      <c r="S774" s="5"/>
      <c r="T774" s="5"/>
      <c r="U774" s="5" t="s">
        <v>4337</v>
      </c>
      <c r="V774" s="5" t="s">
        <v>4338</v>
      </c>
    </row>
    <row r="775" spans="2:22" x14ac:dyDescent="0.3">
      <c r="B775" s="22">
        <v>768</v>
      </c>
      <c r="C775" s="8" t="s">
        <v>8</v>
      </c>
      <c r="D775" s="8" t="s">
        <v>4332</v>
      </c>
      <c r="E775" s="8" t="s">
        <v>4339</v>
      </c>
      <c r="F775" s="8" t="s">
        <v>50</v>
      </c>
      <c r="G775" s="8" t="s">
        <v>4340</v>
      </c>
      <c r="H775" s="8" t="s">
        <v>4341</v>
      </c>
      <c r="I775" s="8" t="s">
        <v>51</v>
      </c>
      <c r="J775" s="8">
        <v>2020</v>
      </c>
      <c r="K775" s="31">
        <v>145</v>
      </c>
      <c r="L775" s="31">
        <v>217.5</v>
      </c>
      <c r="M775" s="31">
        <v>0</v>
      </c>
      <c r="N775" s="31">
        <f t="shared" si="15"/>
        <v>362.5</v>
      </c>
      <c r="O775" s="151" t="s">
        <v>4342</v>
      </c>
      <c r="P775" s="151">
        <v>0</v>
      </c>
      <c r="Q775" s="5"/>
      <c r="R775" s="5"/>
      <c r="S775" s="8"/>
      <c r="T775" s="8" t="s">
        <v>1418</v>
      </c>
      <c r="U775" s="8" t="s">
        <v>4343</v>
      </c>
      <c r="V775" s="8" t="s">
        <v>4344</v>
      </c>
    </row>
    <row r="776" spans="2:22" x14ac:dyDescent="0.3">
      <c r="B776" s="22">
        <v>769</v>
      </c>
      <c r="C776" s="8" t="s">
        <v>8</v>
      </c>
      <c r="D776" s="8" t="s">
        <v>4332</v>
      </c>
      <c r="E776" s="8" t="s">
        <v>4345</v>
      </c>
      <c r="F776" s="8" t="s">
        <v>95</v>
      </c>
      <c r="G776" s="5" t="s">
        <v>4334</v>
      </c>
      <c r="H776" s="8" t="s">
        <v>4346</v>
      </c>
      <c r="I776" s="5" t="s">
        <v>67</v>
      </c>
      <c r="J776" s="5">
        <v>2017</v>
      </c>
      <c r="K776" s="31">
        <v>0</v>
      </c>
      <c r="L776" s="31">
        <v>578</v>
      </c>
      <c r="M776" s="31">
        <v>0</v>
      </c>
      <c r="N776" s="31">
        <f t="shared" si="15"/>
        <v>578</v>
      </c>
      <c r="O776" s="24">
        <v>0</v>
      </c>
      <c r="P776" s="24">
        <v>0</v>
      </c>
      <c r="Q776" s="8"/>
      <c r="R776" s="5"/>
      <c r="S776" s="8"/>
      <c r="T776" s="8"/>
      <c r="U776" s="8" t="s">
        <v>4347</v>
      </c>
      <c r="V776" s="8" t="s">
        <v>4348</v>
      </c>
    </row>
    <row r="777" spans="2:22" x14ac:dyDescent="0.3">
      <c r="B777" s="22">
        <v>770</v>
      </c>
      <c r="C777" s="8" t="s">
        <v>8</v>
      </c>
      <c r="D777" s="8" t="s">
        <v>4349</v>
      </c>
      <c r="E777" s="8" t="s">
        <v>4350</v>
      </c>
      <c r="F777" s="8" t="s">
        <v>1243</v>
      </c>
      <c r="G777" s="8" t="s">
        <v>4351</v>
      </c>
      <c r="H777" s="8" t="s">
        <v>4001</v>
      </c>
      <c r="I777" s="8" t="s">
        <v>235</v>
      </c>
      <c r="J777" s="8">
        <v>2014</v>
      </c>
      <c r="K777" s="31">
        <v>0</v>
      </c>
      <c r="L777" s="31">
        <v>45</v>
      </c>
      <c r="M777" s="31">
        <v>0</v>
      </c>
      <c r="N777" s="31">
        <f t="shared" si="15"/>
        <v>45</v>
      </c>
      <c r="O777" s="24">
        <v>0</v>
      </c>
      <c r="P777" s="24">
        <v>0</v>
      </c>
      <c r="Q777" s="8" t="s">
        <v>4352</v>
      </c>
      <c r="R777" s="8" t="s">
        <v>238</v>
      </c>
      <c r="S777" s="8" t="s">
        <v>4353</v>
      </c>
      <c r="T777" s="8"/>
      <c r="U777" s="8" t="s">
        <v>4354</v>
      </c>
      <c r="V777" s="8" t="s">
        <v>4355</v>
      </c>
    </row>
    <row r="778" spans="2:22" x14ac:dyDescent="0.3">
      <c r="B778" s="22">
        <v>771</v>
      </c>
      <c r="C778" s="8" t="s">
        <v>8</v>
      </c>
      <c r="D778" s="8" t="s">
        <v>4349</v>
      </c>
      <c r="E778" s="8" t="s">
        <v>4356</v>
      </c>
      <c r="F778" s="8" t="s">
        <v>4357</v>
      </c>
      <c r="G778" s="8" t="s">
        <v>4001</v>
      </c>
      <c r="H778" s="8" t="s">
        <v>4358</v>
      </c>
      <c r="I778" s="8" t="s">
        <v>4001</v>
      </c>
      <c r="J778" s="8">
        <v>1999</v>
      </c>
      <c r="K778" s="31">
        <v>0</v>
      </c>
      <c r="L778" s="31">
        <v>815</v>
      </c>
      <c r="M778" s="31">
        <v>0</v>
      </c>
      <c r="N778" s="31">
        <f t="shared" si="15"/>
        <v>815</v>
      </c>
      <c r="O778" s="24">
        <v>0</v>
      </c>
      <c r="P778" s="24">
        <v>0</v>
      </c>
      <c r="Q778" s="8" t="s">
        <v>4359</v>
      </c>
      <c r="R778" s="8" t="s">
        <v>247</v>
      </c>
      <c r="S778" s="165" t="s">
        <v>4360</v>
      </c>
      <c r="T778" s="8"/>
      <c r="U778" s="8" t="s">
        <v>4361</v>
      </c>
      <c r="V778" s="8" t="s">
        <v>4362</v>
      </c>
    </row>
    <row r="779" spans="2:22" x14ac:dyDescent="0.3">
      <c r="B779" s="22">
        <v>772</v>
      </c>
      <c r="C779" s="8" t="s">
        <v>8</v>
      </c>
      <c r="D779" s="25" t="s">
        <v>4349</v>
      </c>
      <c r="E779" s="25" t="s">
        <v>4363</v>
      </c>
      <c r="F779" s="25" t="s">
        <v>4357</v>
      </c>
      <c r="G779" s="25" t="s">
        <v>4001</v>
      </c>
      <c r="H779" s="25" t="s">
        <v>4364</v>
      </c>
      <c r="I779" s="8" t="s">
        <v>4001</v>
      </c>
      <c r="J779" s="25">
        <v>1987</v>
      </c>
      <c r="K779" s="31">
        <v>0</v>
      </c>
      <c r="L779" s="31">
        <v>661</v>
      </c>
      <c r="M779" s="166">
        <v>0</v>
      </c>
      <c r="N779" s="31">
        <f t="shared" si="15"/>
        <v>661</v>
      </c>
      <c r="O779" s="24">
        <v>0</v>
      </c>
      <c r="P779" s="24">
        <v>0</v>
      </c>
      <c r="Q779" s="25" t="s">
        <v>4359</v>
      </c>
      <c r="R779" s="25" t="s">
        <v>247</v>
      </c>
      <c r="S779" s="25" t="s">
        <v>4360</v>
      </c>
      <c r="T779" s="25"/>
      <c r="U779" s="25" t="s">
        <v>4361</v>
      </c>
      <c r="V779" s="25" t="s">
        <v>4362</v>
      </c>
    </row>
    <row r="780" spans="2:22" x14ac:dyDescent="0.3">
      <c r="B780" s="22">
        <v>773</v>
      </c>
      <c r="C780" s="8" t="s">
        <v>8</v>
      </c>
      <c r="D780" s="8" t="s">
        <v>4349</v>
      </c>
      <c r="E780" s="8" t="s">
        <v>4365</v>
      </c>
      <c r="F780" s="8" t="s">
        <v>461</v>
      </c>
      <c r="G780" s="8" t="s">
        <v>4366</v>
      </c>
      <c r="H780" s="8" t="s">
        <v>4358</v>
      </c>
      <c r="I780" s="8" t="s">
        <v>235</v>
      </c>
      <c r="J780" s="8">
        <v>2015</v>
      </c>
      <c r="K780" s="31">
        <v>0</v>
      </c>
      <c r="L780" s="31">
        <v>150</v>
      </c>
      <c r="M780" s="31">
        <v>150</v>
      </c>
      <c r="N780" s="31">
        <f t="shared" si="15"/>
        <v>300</v>
      </c>
      <c r="O780" s="24" t="s">
        <v>1899</v>
      </c>
      <c r="P780" s="24" t="s">
        <v>4367</v>
      </c>
      <c r="Q780" s="8" t="s">
        <v>4368</v>
      </c>
      <c r="R780" s="8" t="s">
        <v>357</v>
      </c>
      <c r="S780" s="8" t="s">
        <v>4369</v>
      </c>
      <c r="T780" s="8"/>
      <c r="U780" s="8" t="s">
        <v>4370</v>
      </c>
      <c r="V780" s="8" t="s">
        <v>4371</v>
      </c>
    </row>
    <row r="781" spans="2:22" x14ac:dyDescent="0.3">
      <c r="B781" s="22">
        <v>774</v>
      </c>
      <c r="C781" s="8" t="s">
        <v>8</v>
      </c>
      <c r="D781" s="8" t="s">
        <v>4349</v>
      </c>
      <c r="E781" s="8" t="s">
        <v>4372</v>
      </c>
      <c r="F781" s="8" t="s">
        <v>1243</v>
      </c>
      <c r="G781" s="8" t="s">
        <v>4373</v>
      </c>
      <c r="H781" s="8" t="s">
        <v>4001</v>
      </c>
      <c r="I781" s="8" t="s">
        <v>235</v>
      </c>
      <c r="J781" s="8">
        <v>2005</v>
      </c>
      <c r="K781" s="31">
        <v>0</v>
      </c>
      <c r="L781" s="31">
        <v>186</v>
      </c>
      <c r="M781" s="31">
        <v>0</v>
      </c>
      <c r="N781" s="31">
        <f t="shared" si="15"/>
        <v>186</v>
      </c>
      <c r="O781" s="24">
        <v>0</v>
      </c>
      <c r="P781" s="24">
        <v>0</v>
      </c>
      <c r="Q781" s="8" t="s">
        <v>4374</v>
      </c>
      <c r="R781" s="8" t="s">
        <v>357</v>
      </c>
      <c r="S781" s="8" t="s">
        <v>4375</v>
      </c>
      <c r="T781" s="8"/>
      <c r="U781" s="8" t="s">
        <v>4376</v>
      </c>
      <c r="V781" s="8" t="s">
        <v>4377</v>
      </c>
    </row>
    <row r="782" spans="2:22" x14ac:dyDescent="0.3">
      <c r="B782" s="22">
        <v>775</v>
      </c>
      <c r="C782" s="8" t="s">
        <v>8</v>
      </c>
      <c r="D782" s="8" t="s">
        <v>4349</v>
      </c>
      <c r="E782" s="8" t="s">
        <v>4378</v>
      </c>
      <c r="F782" s="8" t="s">
        <v>243</v>
      </c>
      <c r="G782" s="83" t="s">
        <v>560</v>
      </c>
      <c r="H782" s="8" t="s">
        <v>4379</v>
      </c>
      <c r="I782" s="8" t="s">
        <v>67</v>
      </c>
      <c r="J782" s="8">
        <v>2020</v>
      </c>
      <c r="K782" s="31">
        <v>0</v>
      </c>
      <c r="L782" s="31">
        <v>500</v>
      </c>
      <c r="M782" s="31">
        <v>0</v>
      </c>
      <c r="N782" s="31">
        <f t="shared" si="15"/>
        <v>500</v>
      </c>
      <c r="O782" s="24">
        <v>0</v>
      </c>
      <c r="P782" s="24">
        <v>0</v>
      </c>
      <c r="Q782" s="8" t="s">
        <v>4380</v>
      </c>
      <c r="R782" s="8" t="s">
        <v>357</v>
      </c>
      <c r="S782" s="8" t="s">
        <v>4381</v>
      </c>
      <c r="T782" s="8"/>
      <c r="U782" s="8" t="s">
        <v>4382</v>
      </c>
      <c r="V782" s="8" t="s">
        <v>4383</v>
      </c>
    </row>
    <row r="783" spans="2:22" x14ac:dyDescent="0.3">
      <c r="B783" s="22">
        <v>776</v>
      </c>
      <c r="C783" s="8" t="s">
        <v>8</v>
      </c>
      <c r="D783" s="25" t="s">
        <v>4349</v>
      </c>
      <c r="E783" s="25" t="s">
        <v>4384</v>
      </c>
      <c r="F783" s="25" t="s">
        <v>461</v>
      </c>
      <c r="G783" s="25" t="s">
        <v>4385</v>
      </c>
      <c r="H783" s="25" t="s">
        <v>4386</v>
      </c>
      <c r="I783" s="25" t="s">
        <v>235</v>
      </c>
      <c r="J783" s="25">
        <v>1997</v>
      </c>
      <c r="K783" s="31">
        <v>0</v>
      </c>
      <c r="L783" s="31">
        <v>150</v>
      </c>
      <c r="M783" s="166">
        <v>0</v>
      </c>
      <c r="N783" s="31">
        <f t="shared" si="15"/>
        <v>150</v>
      </c>
      <c r="O783" s="24">
        <v>0</v>
      </c>
      <c r="P783" s="24">
        <v>0</v>
      </c>
      <c r="Q783" s="25" t="s">
        <v>4387</v>
      </c>
      <c r="R783" s="8" t="s">
        <v>357</v>
      </c>
      <c r="S783" s="25" t="s">
        <v>4388</v>
      </c>
      <c r="T783" s="25"/>
      <c r="U783" s="25" t="s">
        <v>4389</v>
      </c>
      <c r="V783" s="25" t="s">
        <v>4390</v>
      </c>
    </row>
    <row r="784" spans="2:22" x14ac:dyDescent="0.3">
      <c r="B784" s="22">
        <v>777</v>
      </c>
      <c r="C784" s="8" t="s">
        <v>8</v>
      </c>
      <c r="D784" s="25" t="s">
        <v>4349</v>
      </c>
      <c r="E784" s="25" t="s">
        <v>4391</v>
      </c>
      <c r="F784" s="25" t="s">
        <v>429</v>
      </c>
      <c r="G784" s="25" t="s">
        <v>4392</v>
      </c>
      <c r="H784" s="25" t="s">
        <v>4393</v>
      </c>
      <c r="I784" s="25" t="s">
        <v>235</v>
      </c>
      <c r="J784" s="25">
        <v>2000</v>
      </c>
      <c r="K784" s="31">
        <v>0</v>
      </c>
      <c r="L784" s="31">
        <v>236</v>
      </c>
      <c r="M784" s="166">
        <v>0</v>
      </c>
      <c r="N784" s="31">
        <f t="shared" si="15"/>
        <v>236</v>
      </c>
      <c r="O784" s="24">
        <v>0</v>
      </c>
      <c r="P784" s="24">
        <v>0</v>
      </c>
      <c r="Q784" s="25" t="s">
        <v>4394</v>
      </c>
      <c r="R784" s="8" t="s">
        <v>357</v>
      </c>
      <c r="S784" s="25" t="s">
        <v>4395</v>
      </c>
      <c r="T784" s="25"/>
      <c r="U784" s="25" t="s">
        <v>4396</v>
      </c>
      <c r="V784" s="25" t="s">
        <v>4397</v>
      </c>
    </row>
    <row r="785" spans="2:22" x14ac:dyDescent="0.3">
      <c r="B785" s="22">
        <v>778</v>
      </c>
      <c r="C785" s="8" t="s">
        <v>8</v>
      </c>
      <c r="D785" s="8" t="s">
        <v>4349</v>
      </c>
      <c r="E785" s="8" t="s">
        <v>4398</v>
      </c>
      <c r="F785" s="8" t="s">
        <v>243</v>
      </c>
      <c r="G785" s="8" t="s">
        <v>4001</v>
      </c>
      <c r="H785" s="8" t="s">
        <v>4358</v>
      </c>
      <c r="I785" s="8" t="s">
        <v>4001</v>
      </c>
      <c r="J785" s="8">
        <v>2004</v>
      </c>
      <c r="K785" s="31">
        <v>0</v>
      </c>
      <c r="L785" s="31">
        <v>38</v>
      </c>
      <c r="M785" s="31">
        <v>0</v>
      </c>
      <c r="N785" s="31">
        <f t="shared" si="15"/>
        <v>38</v>
      </c>
      <c r="O785" s="24">
        <v>0</v>
      </c>
      <c r="P785" s="24">
        <v>0</v>
      </c>
      <c r="Q785" s="8" t="s">
        <v>4399</v>
      </c>
      <c r="R785" s="8" t="s">
        <v>238</v>
      </c>
      <c r="S785" s="8" t="s">
        <v>4400</v>
      </c>
      <c r="T785" s="8"/>
      <c r="U785" s="8" t="s">
        <v>4401</v>
      </c>
      <c r="V785" s="8" t="s">
        <v>4402</v>
      </c>
    </row>
    <row r="786" spans="2:22" x14ac:dyDescent="0.3">
      <c r="B786" s="22">
        <v>779</v>
      </c>
      <c r="C786" s="8" t="s">
        <v>8</v>
      </c>
      <c r="D786" s="8" t="s">
        <v>4403</v>
      </c>
      <c r="E786" s="8" t="s">
        <v>4404</v>
      </c>
      <c r="F786" s="8" t="s">
        <v>55</v>
      </c>
      <c r="G786" s="8" t="s">
        <v>4405</v>
      </c>
      <c r="H786" s="25" t="s">
        <v>4406</v>
      </c>
      <c r="I786" s="8" t="s">
        <v>67</v>
      </c>
      <c r="J786" s="8">
        <v>2021</v>
      </c>
      <c r="K786" s="31">
        <v>0</v>
      </c>
      <c r="L786" s="31">
        <v>280</v>
      </c>
      <c r="M786" s="31">
        <v>0</v>
      </c>
      <c r="N786" s="31">
        <f t="shared" si="15"/>
        <v>280</v>
      </c>
      <c r="O786" s="163" t="s">
        <v>4407</v>
      </c>
      <c r="P786" s="24">
        <v>0</v>
      </c>
      <c r="Q786" s="8"/>
      <c r="R786" s="8"/>
      <c r="S786" s="8"/>
      <c r="T786" s="8"/>
      <c r="U786" s="8" t="s">
        <v>4408</v>
      </c>
      <c r="V786" s="8" t="s">
        <v>4409</v>
      </c>
    </row>
    <row r="787" spans="2:22" x14ac:dyDescent="0.3">
      <c r="B787" s="22">
        <v>780</v>
      </c>
      <c r="C787" s="8" t="s">
        <v>8</v>
      </c>
      <c r="D787" s="8" t="s">
        <v>4403</v>
      </c>
      <c r="E787" s="8" t="s">
        <v>4410</v>
      </c>
      <c r="F787" s="164" t="s">
        <v>55</v>
      </c>
      <c r="G787" s="8" t="s">
        <v>223</v>
      </c>
      <c r="H787" s="8" t="s">
        <v>4411</v>
      </c>
      <c r="I787" s="8" t="s">
        <v>51</v>
      </c>
      <c r="J787" s="8">
        <v>2022</v>
      </c>
      <c r="K787" s="31">
        <v>0</v>
      </c>
      <c r="L787" s="31">
        <v>80</v>
      </c>
      <c r="M787" s="31">
        <v>0</v>
      </c>
      <c r="N787" s="31">
        <f t="shared" si="15"/>
        <v>80</v>
      </c>
      <c r="O787" s="24">
        <v>0</v>
      </c>
      <c r="P787" s="24">
        <v>0</v>
      </c>
      <c r="Q787" s="8" t="s">
        <v>4412</v>
      </c>
      <c r="R787" s="8" t="s">
        <v>173</v>
      </c>
      <c r="S787" s="8" t="s">
        <v>4413</v>
      </c>
      <c r="T787" s="8"/>
      <c r="U787" s="8" t="s">
        <v>4408</v>
      </c>
      <c r="V787" s="8" t="s">
        <v>4409</v>
      </c>
    </row>
    <row r="788" spans="2:22" x14ac:dyDescent="0.3">
      <c r="B788" s="22">
        <v>781</v>
      </c>
      <c r="C788" s="8" t="s">
        <v>8</v>
      </c>
      <c r="D788" s="8" t="s">
        <v>4414</v>
      </c>
      <c r="E788" s="8" t="s">
        <v>4415</v>
      </c>
      <c r="F788" s="8" t="s">
        <v>55</v>
      </c>
      <c r="G788" s="8" t="s">
        <v>4416</v>
      </c>
      <c r="H788" s="8" t="s">
        <v>4417</v>
      </c>
      <c r="I788" s="8" t="s">
        <v>67</v>
      </c>
      <c r="J788" s="8">
        <v>2001</v>
      </c>
      <c r="K788" s="31">
        <v>30</v>
      </c>
      <c r="L788" s="31">
        <v>1586</v>
      </c>
      <c r="M788" s="31">
        <v>0</v>
      </c>
      <c r="N788" s="31">
        <f t="shared" si="15"/>
        <v>1616</v>
      </c>
      <c r="O788" s="24">
        <v>0</v>
      </c>
      <c r="P788" s="24">
        <v>0</v>
      </c>
      <c r="Q788" s="8" t="s">
        <v>4418</v>
      </c>
      <c r="R788" s="8" t="s">
        <v>395</v>
      </c>
      <c r="S788" s="8" t="s">
        <v>4419</v>
      </c>
      <c r="T788" s="8" t="s">
        <v>43</v>
      </c>
      <c r="U788" s="8" t="s">
        <v>4420</v>
      </c>
      <c r="V788" s="8" t="s">
        <v>4421</v>
      </c>
    </row>
    <row r="789" spans="2:22" x14ac:dyDescent="0.3">
      <c r="B789" s="22">
        <v>782</v>
      </c>
      <c r="C789" s="8" t="s">
        <v>8</v>
      </c>
      <c r="D789" s="8" t="s">
        <v>4422</v>
      </c>
      <c r="E789" s="8" t="s">
        <v>4423</v>
      </c>
      <c r="F789" s="8" t="s">
        <v>461</v>
      </c>
      <c r="G789" s="8" t="s">
        <v>560</v>
      </c>
      <c r="H789" s="8" t="s">
        <v>4001</v>
      </c>
      <c r="I789" s="8" t="s">
        <v>235</v>
      </c>
      <c r="J789" s="8">
        <v>2007</v>
      </c>
      <c r="K789" s="31">
        <v>0</v>
      </c>
      <c r="L789" s="31">
        <v>50</v>
      </c>
      <c r="M789" s="31">
        <v>0</v>
      </c>
      <c r="N789" s="31">
        <f t="shared" si="15"/>
        <v>50</v>
      </c>
      <c r="O789" s="24" t="s">
        <v>4424</v>
      </c>
      <c r="P789" s="24">
        <v>0</v>
      </c>
      <c r="Q789" s="8" t="s">
        <v>4425</v>
      </c>
      <c r="R789" s="8" t="s">
        <v>533</v>
      </c>
      <c r="S789" s="8"/>
      <c r="T789" s="8"/>
      <c r="U789" s="8" t="s">
        <v>4426</v>
      </c>
      <c r="V789" s="8" t="s">
        <v>4427</v>
      </c>
    </row>
    <row r="790" spans="2:22" x14ac:dyDescent="0.3">
      <c r="B790" s="22">
        <v>783</v>
      </c>
      <c r="C790" s="8" t="s">
        <v>8</v>
      </c>
      <c r="D790" s="8" t="s">
        <v>4414</v>
      </c>
      <c r="E790" s="8" t="s">
        <v>4428</v>
      </c>
      <c r="F790" s="8" t="s">
        <v>50</v>
      </c>
      <c r="G790" s="8" t="s">
        <v>4416</v>
      </c>
      <c r="H790" s="8" t="s">
        <v>4429</v>
      </c>
      <c r="I790" s="8" t="s">
        <v>51</v>
      </c>
      <c r="J790" s="8">
        <v>2004</v>
      </c>
      <c r="K790" s="31">
        <v>0</v>
      </c>
      <c r="L790" s="31">
        <v>50</v>
      </c>
      <c r="M790" s="31">
        <v>0</v>
      </c>
      <c r="N790" s="31">
        <f t="shared" si="15"/>
        <v>50</v>
      </c>
      <c r="O790" s="24">
        <v>0</v>
      </c>
      <c r="P790" s="24">
        <v>0</v>
      </c>
      <c r="Q790" s="8" t="s">
        <v>4430</v>
      </c>
      <c r="R790" s="8" t="s">
        <v>42</v>
      </c>
      <c r="S790" s="8" t="s">
        <v>4431</v>
      </c>
      <c r="T790" s="8"/>
      <c r="U790" s="8" t="s">
        <v>4432</v>
      </c>
      <c r="V790" s="8" t="s">
        <v>4433</v>
      </c>
    </row>
    <row r="791" spans="2:22" x14ac:dyDescent="0.3">
      <c r="B791" s="22">
        <v>784</v>
      </c>
      <c r="C791" s="8" t="s">
        <v>8</v>
      </c>
      <c r="D791" s="7" t="s">
        <v>4434</v>
      </c>
      <c r="E791" s="7" t="s">
        <v>4435</v>
      </c>
      <c r="F791" s="167" t="s">
        <v>4436</v>
      </c>
      <c r="G791" s="7" t="s">
        <v>4437</v>
      </c>
      <c r="H791" s="7" t="s">
        <v>4438</v>
      </c>
      <c r="I791" s="7" t="s">
        <v>51</v>
      </c>
      <c r="J791" s="47">
        <v>2002</v>
      </c>
      <c r="K791" s="150">
        <v>0</v>
      </c>
      <c r="L791" s="31">
        <v>288</v>
      </c>
      <c r="M791" s="150">
        <v>0</v>
      </c>
      <c r="N791" s="31">
        <f t="shared" si="15"/>
        <v>288</v>
      </c>
      <c r="O791" s="151">
        <v>0</v>
      </c>
      <c r="P791" s="151">
        <v>0</v>
      </c>
      <c r="Q791" s="7" t="s">
        <v>4439</v>
      </c>
      <c r="R791" s="7" t="s">
        <v>2678</v>
      </c>
      <c r="S791" s="5" t="s">
        <v>4440</v>
      </c>
      <c r="T791" s="5"/>
      <c r="U791" s="5" t="s">
        <v>4441</v>
      </c>
      <c r="V791" s="5" t="s">
        <v>4442</v>
      </c>
    </row>
    <row r="792" spans="2:22" x14ac:dyDescent="0.3">
      <c r="B792" s="22">
        <v>785</v>
      </c>
      <c r="C792" s="8" t="s">
        <v>8</v>
      </c>
      <c r="D792" s="7" t="s">
        <v>4434</v>
      </c>
      <c r="E792" s="7" t="s">
        <v>4443</v>
      </c>
      <c r="F792" s="167" t="s">
        <v>4436</v>
      </c>
      <c r="G792" s="7" t="s">
        <v>4444</v>
      </c>
      <c r="H792" s="7" t="s">
        <v>4445</v>
      </c>
      <c r="I792" s="7" t="s">
        <v>51</v>
      </c>
      <c r="J792" s="47">
        <v>2001</v>
      </c>
      <c r="K792" s="150">
        <v>0</v>
      </c>
      <c r="L792" s="31">
        <v>280</v>
      </c>
      <c r="M792" s="150">
        <v>0</v>
      </c>
      <c r="N792" s="31">
        <f t="shared" si="15"/>
        <v>280</v>
      </c>
      <c r="O792" s="151">
        <v>0</v>
      </c>
      <c r="P792" s="151">
        <v>0</v>
      </c>
      <c r="Q792" s="7" t="s">
        <v>4439</v>
      </c>
      <c r="R792" s="7" t="s">
        <v>395</v>
      </c>
      <c r="S792" s="5" t="s">
        <v>4440</v>
      </c>
      <c r="T792" s="5"/>
      <c r="U792" s="5" t="s">
        <v>4441</v>
      </c>
      <c r="V792" s="5" t="s">
        <v>4442</v>
      </c>
    </row>
    <row r="793" spans="2:22" x14ac:dyDescent="0.3">
      <c r="B793" s="22">
        <v>786</v>
      </c>
      <c r="C793" s="8" t="s">
        <v>8</v>
      </c>
      <c r="D793" s="8" t="s">
        <v>4446</v>
      </c>
      <c r="E793" s="8" t="s">
        <v>4447</v>
      </c>
      <c r="F793" s="8" t="s">
        <v>95</v>
      </c>
      <c r="G793" s="8" t="s">
        <v>4448</v>
      </c>
      <c r="H793" s="8" t="s">
        <v>4449</v>
      </c>
      <c r="I793" s="8" t="s">
        <v>67</v>
      </c>
      <c r="J793" s="8">
        <v>1997</v>
      </c>
      <c r="K793" s="31">
        <v>0</v>
      </c>
      <c r="L793" s="31">
        <v>200</v>
      </c>
      <c r="M793" s="31">
        <v>0</v>
      </c>
      <c r="N793" s="31">
        <f t="shared" si="15"/>
        <v>200</v>
      </c>
      <c r="O793" s="10" t="s">
        <v>4450</v>
      </c>
      <c r="P793" s="24">
        <v>0</v>
      </c>
      <c r="Q793" s="8" t="s">
        <v>4451</v>
      </c>
      <c r="R793" s="8" t="s">
        <v>42</v>
      </c>
      <c r="S793" s="8" t="s">
        <v>4452</v>
      </c>
      <c r="T793" s="8"/>
      <c r="U793" s="8" t="s">
        <v>4453</v>
      </c>
      <c r="V793" s="8" t="s">
        <v>4454</v>
      </c>
    </row>
    <row r="794" spans="2:22" x14ac:dyDescent="0.3">
      <c r="B794" s="22">
        <v>787</v>
      </c>
      <c r="C794" s="8" t="s">
        <v>8</v>
      </c>
      <c r="D794" s="8" t="s">
        <v>4446</v>
      </c>
      <c r="E794" s="8" t="s">
        <v>4455</v>
      </c>
      <c r="F794" s="8" t="s">
        <v>95</v>
      </c>
      <c r="G794" s="8" t="s">
        <v>4456</v>
      </c>
      <c r="H794" s="8" t="s">
        <v>4457</v>
      </c>
      <c r="I794" s="8" t="s">
        <v>51</v>
      </c>
      <c r="J794" s="8">
        <v>2003</v>
      </c>
      <c r="K794" s="31">
        <v>0</v>
      </c>
      <c r="L794" s="31">
        <v>70</v>
      </c>
      <c r="M794" s="31">
        <v>0</v>
      </c>
      <c r="N794" s="31">
        <f t="shared" si="15"/>
        <v>70</v>
      </c>
      <c r="O794" s="10" t="s">
        <v>401</v>
      </c>
      <c r="P794" s="24">
        <v>0</v>
      </c>
      <c r="Q794" s="8" t="s">
        <v>394</v>
      </c>
      <c r="R794" s="8" t="s">
        <v>395</v>
      </c>
      <c r="S794" s="8" t="s">
        <v>4458</v>
      </c>
      <c r="T794" s="8"/>
      <c r="U794" s="8" t="s">
        <v>4453</v>
      </c>
      <c r="V794" s="8" t="s">
        <v>4454</v>
      </c>
    </row>
    <row r="795" spans="2:22" x14ac:dyDescent="0.3">
      <c r="B795" s="22">
        <v>788</v>
      </c>
      <c r="C795" s="8" t="s">
        <v>8</v>
      </c>
      <c r="D795" s="5" t="s">
        <v>4459</v>
      </c>
      <c r="E795" s="5" t="s">
        <v>4460</v>
      </c>
      <c r="F795" s="5" t="s">
        <v>390</v>
      </c>
      <c r="G795" s="5" t="s">
        <v>1038</v>
      </c>
      <c r="H795" s="5" t="s">
        <v>4461</v>
      </c>
      <c r="I795" s="5" t="s">
        <v>67</v>
      </c>
      <c r="J795" s="5">
        <v>1999</v>
      </c>
      <c r="K795" s="150">
        <v>0</v>
      </c>
      <c r="L795" s="31">
        <v>120</v>
      </c>
      <c r="M795" s="150">
        <v>0</v>
      </c>
      <c r="N795" s="31">
        <f t="shared" si="15"/>
        <v>120</v>
      </c>
      <c r="O795" s="163">
        <v>0</v>
      </c>
      <c r="P795" s="151">
        <v>0</v>
      </c>
      <c r="Q795" s="5" t="s">
        <v>4462</v>
      </c>
      <c r="R795" s="5" t="s">
        <v>395</v>
      </c>
      <c r="S795" s="5" t="s">
        <v>4463</v>
      </c>
      <c r="T795" s="5"/>
      <c r="U795" s="5" t="s">
        <v>4464</v>
      </c>
      <c r="V795" s="5" t="s">
        <v>4465</v>
      </c>
    </row>
    <row r="796" spans="2:22" x14ac:dyDescent="0.3">
      <c r="B796" s="22">
        <v>789</v>
      </c>
      <c r="C796" s="8" t="s">
        <v>8</v>
      </c>
      <c r="D796" s="5" t="s">
        <v>4459</v>
      </c>
      <c r="E796" s="5" t="s">
        <v>4466</v>
      </c>
      <c r="F796" s="5" t="s">
        <v>95</v>
      </c>
      <c r="G796" s="5" t="s">
        <v>1038</v>
      </c>
      <c r="H796" s="5" t="s">
        <v>4467</v>
      </c>
      <c r="I796" s="5" t="s">
        <v>51</v>
      </c>
      <c r="J796" s="5">
        <v>2004</v>
      </c>
      <c r="K796" s="150">
        <v>0</v>
      </c>
      <c r="L796" s="31">
        <v>120</v>
      </c>
      <c r="M796" s="150">
        <v>0</v>
      </c>
      <c r="N796" s="31">
        <f t="shared" si="15"/>
        <v>120</v>
      </c>
      <c r="O796" s="163">
        <v>0</v>
      </c>
      <c r="P796" s="151">
        <v>0</v>
      </c>
      <c r="Q796" s="5" t="s">
        <v>4468</v>
      </c>
      <c r="R796" s="5" t="s">
        <v>395</v>
      </c>
      <c r="S796" s="5" t="s">
        <v>4463</v>
      </c>
      <c r="T796" s="5"/>
      <c r="U796" s="5" t="s">
        <v>4469</v>
      </c>
      <c r="V796" s="5" t="s">
        <v>4470</v>
      </c>
    </row>
    <row r="797" spans="2:22" x14ac:dyDescent="0.3">
      <c r="B797" s="22">
        <v>790</v>
      </c>
      <c r="C797" s="8" t="s">
        <v>8</v>
      </c>
      <c r="D797" s="8" t="s">
        <v>4471</v>
      </c>
      <c r="E797" s="8" t="s">
        <v>4472</v>
      </c>
      <c r="F797" s="8" t="s">
        <v>461</v>
      </c>
      <c r="G797" s="8" t="s">
        <v>4473</v>
      </c>
      <c r="H797" s="8" t="s">
        <v>4474</v>
      </c>
      <c r="I797" s="8" t="s">
        <v>292</v>
      </c>
      <c r="J797" s="8">
        <v>2008</v>
      </c>
      <c r="K797" s="31">
        <v>0</v>
      </c>
      <c r="L797" s="31">
        <v>120</v>
      </c>
      <c r="M797" s="31">
        <v>0</v>
      </c>
      <c r="N797" s="31">
        <f t="shared" si="15"/>
        <v>120</v>
      </c>
      <c r="O797" s="24">
        <v>0</v>
      </c>
      <c r="P797" s="24">
        <v>0</v>
      </c>
      <c r="Q797" s="8" t="s">
        <v>4475</v>
      </c>
      <c r="R797" s="8" t="s">
        <v>4476</v>
      </c>
      <c r="S797" s="8" t="s">
        <v>4477</v>
      </c>
      <c r="T797" s="8"/>
      <c r="U797" s="8" t="s">
        <v>4478</v>
      </c>
      <c r="V797" s="8" t="s">
        <v>4479</v>
      </c>
    </row>
    <row r="798" spans="2:22" x14ac:dyDescent="0.3">
      <c r="B798" s="22">
        <v>791</v>
      </c>
      <c r="C798" s="8" t="s">
        <v>8</v>
      </c>
      <c r="D798" s="5" t="s">
        <v>4459</v>
      </c>
      <c r="E798" s="5" t="s">
        <v>4480</v>
      </c>
      <c r="F798" s="5" t="s">
        <v>390</v>
      </c>
      <c r="G798" s="5" t="s">
        <v>220</v>
      </c>
      <c r="H798" s="5" t="s">
        <v>4481</v>
      </c>
      <c r="I798" s="5" t="s">
        <v>67</v>
      </c>
      <c r="J798" s="5">
        <v>2008</v>
      </c>
      <c r="K798" s="150">
        <v>0</v>
      </c>
      <c r="L798" s="31">
        <v>600</v>
      </c>
      <c r="M798" s="150">
        <v>0</v>
      </c>
      <c r="N798" s="31">
        <f t="shared" si="15"/>
        <v>600</v>
      </c>
      <c r="O798" s="24" t="s">
        <v>4482</v>
      </c>
      <c r="P798" s="24">
        <v>0</v>
      </c>
      <c r="Q798" s="5" t="s">
        <v>4483</v>
      </c>
      <c r="R798" s="5" t="s">
        <v>395</v>
      </c>
      <c r="S798" s="5" t="s">
        <v>4463</v>
      </c>
      <c r="T798" s="5"/>
      <c r="U798" s="5" t="s">
        <v>4484</v>
      </c>
      <c r="V798" s="5" t="s">
        <v>4485</v>
      </c>
    </row>
    <row r="799" spans="2:22" x14ac:dyDescent="0.3">
      <c r="B799" s="22">
        <v>792</v>
      </c>
      <c r="C799" s="8" t="s">
        <v>8</v>
      </c>
      <c r="D799" s="5" t="s">
        <v>4459</v>
      </c>
      <c r="E799" s="5" t="s">
        <v>4486</v>
      </c>
      <c r="F799" s="5" t="s">
        <v>1243</v>
      </c>
      <c r="G799" s="5" t="s">
        <v>193</v>
      </c>
      <c r="H799" s="5" t="s">
        <v>4487</v>
      </c>
      <c r="I799" s="5" t="s">
        <v>51</v>
      </c>
      <c r="J799" s="5">
        <v>2012</v>
      </c>
      <c r="K799" s="150">
        <v>0</v>
      </c>
      <c r="L799" s="31">
        <v>120</v>
      </c>
      <c r="M799" s="150">
        <v>0</v>
      </c>
      <c r="N799" s="31">
        <f t="shared" si="15"/>
        <v>120</v>
      </c>
      <c r="O799" s="24">
        <v>0</v>
      </c>
      <c r="P799" s="24">
        <v>0</v>
      </c>
      <c r="Q799" s="5" t="s">
        <v>4488</v>
      </c>
      <c r="R799" s="8" t="s">
        <v>395</v>
      </c>
      <c r="S799" s="8" t="s">
        <v>4463</v>
      </c>
      <c r="T799" s="5"/>
      <c r="U799" s="5" t="s">
        <v>4489</v>
      </c>
      <c r="V799" s="5" t="s">
        <v>4490</v>
      </c>
    </row>
    <row r="800" spans="2:22" x14ac:dyDescent="0.3">
      <c r="B800" s="22">
        <v>793</v>
      </c>
      <c r="C800" s="8" t="s">
        <v>8</v>
      </c>
      <c r="D800" s="8" t="s">
        <v>4459</v>
      </c>
      <c r="E800" s="8" t="s">
        <v>4491</v>
      </c>
      <c r="F800" s="8" t="s">
        <v>390</v>
      </c>
      <c r="G800" s="8" t="s">
        <v>4492</v>
      </c>
      <c r="H800" s="8" t="s">
        <v>4493</v>
      </c>
      <c r="I800" s="8" t="s">
        <v>51</v>
      </c>
      <c r="J800" s="8">
        <v>2016</v>
      </c>
      <c r="K800" s="31">
        <v>0</v>
      </c>
      <c r="L800" s="31">
        <v>120</v>
      </c>
      <c r="M800" s="31">
        <v>0</v>
      </c>
      <c r="N800" s="31">
        <f t="shared" si="15"/>
        <v>120</v>
      </c>
      <c r="O800" s="24">
        <v>0</v>
      </c>
      <c r="P800" s="24">
        <v>0</v>
      </c>
      <c r="Q800" s="8" t="s">
        <v>4494</v>
      </c>
      <c r="R800" s="8" t="s">
        <v>395</v>
      </c>
      <c r="S800" s="8" t="s">
        <v>4463</v>
      </c>
      <c r="T800" s="8"/>
      <c r="U800" s="8" t="s">
        <v>4495</v>
      </c>
      <c r="V800" s="8" t="s">
        <v>4496</v>
      </c>
    </row>
    <row r="801" spans="2:22" x14ac:dyDescent="0.3">
      <c r="B801" s="22">
        <v>794</v>
      </c>
      <c r="C801" s="8" t="s">
        <v>8</v>
      </c>
      <c r="D801" s="5" t="s">
        <v>4497</v>
      </c>
      <c r="E801" s="5" t="s">
        <v>4498</v>
      </c>
      <c r="F801" s="5" t="s">
        <v>390</v>
      </c>
      <c r="G801" s="5" t="s">
        <v>4499</v>
      </c>
      <c r="H801" s="5" t="s">
        <v>4500</v>
      </c>
      <c r="I801" s="5" t="s">
        <v>67</v>
      </c>
      <c r="J801" s="5">
        <v>1990</v>
      </c>
      <c r="K801" s="150">
        <v>0</v>
      </c>
      <c r="L801" s="31">
        <v>820</v>
      </c>
      <c r="M801" s="150">
        <v>10</v>
      </c>
      <c r="N801" s="31">
        <f t="shared" si="15"/>
        <v>830</v>
      </c>
      <c r="O801" s="151" t="s">
        <v>4501</v>
      </c>
      <c r="P801" s="151">
        <v>0</v>
      </c>
      <c r="Q801" s="5" t="s">
        <v>4502</v>
      </c>
      <c r="R801" s="5" t="s">
        <v>42</v>
      </c>
      <c r="S801" s="5" t="s">
        <v>4503</v>
      </c>
      <c r="T801" s="5"/>
      <c r="U801" s="5" t="s">
        <v>4504</v>
      </c>
      <c r="V801" s="5" t="s">
        <v>4505</v>
      </c>
    </row>
    <row r="802" spans="2:22" x14ac:dyDescent="0.3">
      <c r="B802" s="22">
        <v>795</v>
      </c>
      <c r="C802" s="8" t="s">
        <v>8</v>
      </c>
      <c r="D802" s="8" t="s">
        <v>4497</v>
      </c>
      <c r="E802" s="8" t="s">
        <v>4506</v>
      </c>
      <c r="F802" s="8" t="s">
        <v>390</v>
      </c>
      <c r="G802" s="8" t="s">
        <v>4507</v>
      </c>
      <c r="H802" s="8" t="s">
        <v>4508</v>
      </c>
      <c r="I802" s="8" t="s">
        <v>67</v>
      </c>
      <c r="J802" s="8">
        <v>1998</v>
      </c>
      <c r="K802" s="31">
        <v>30</v>
      </c>
      <c r="L802" s="31">
        <v>30</v>
      </c>
      <c r="M802" s="31">
        <v>887</v>
      </c>
      <c r="N802" s="31">
        <f t="shared" si="15"/>
        <v>947</v>
      </c>
      <c r="O802" s="162" t="s">
        <v>4509</v>
      </c>
      <c r="P802" s="24">
        <v>0</v>
      </c>
      <c r="Q802" s="5" t="s">
        <v>4502</v>
      </c>
      <c r="R802" s="8" t="s">
        <v>42</v>
      </c>
      <c r="S802" s="5" t="s">
        <v>4503</v>
      </c>
      <c r="T802" s="8" t="s">
        <v>43</v>
      </c>
      <c r="U802" s="8" t="s">
        <v>4510</v>
      </c>
      <c r="V802" s="8" t="s">
        <v>4511</v>
      </c>
    </row>
    <row r="803" spans="2:22" x14ac:dyDescent="0.3">
      <c r="B803" s="22">
        <v>796</v>
      </c>
      <c r="C803" s="8" t="s">
        <v>8</v>
      </c>
      <c r="D803" s="8" t="s">
        <v>4497</v>
      </c>
      <c r="E803" s="8" t="s">
        <v>4512</v>
      </c>
      <c r="F803" s="8" t="s">
        <v>95</v>
      </c>
      <c r="G803" s="8" t="s">
        <v>4513</v>
      </c>
      <c r="H803" s="8" t="s">
        <v>4514</v>
      </c>
      <c r="I803" s="8" t="s">
        <v>67</v>
      </c>
      <c r="J803" s="8">
        <v>1997</v>
      </c>
      <c r="K803" s="31">
        <v>0</v>
      </c>
      <c r="L803" s="31">
        <v>100</v>
      </c>
      <c r="M803" s="31">
        <v>0</v>
      </c>
      <c r="N803" s="31">
        <f t="shared" ref="N803:N818" si="16">SUM(K803:M803)</f>
        <v>100</v>
      </c>
      <c r="O803" s="24" t="s">
        <v>4515</v>
      </c>
      <c r="P803" s="24">
        <v>0</v>
      </c>
      <c r="Q803" s="8" t="s">
        <v>4516</v>
      </c>
      <c r="R803" s="8" t="s">
        <v>395</v>
      </c>
      <c r="S803" s="8"/>
      <c r="T803" s="8"/>
      <c r="U803" s="8" t="s">
        <v>4517</v>
      </c>
      <c r="V803" s="8" t="s">
        <v>4518</v>
      </c>
    </row>
    <row r="804" spans="2:22" x14ac:dyDescent="0.3">
      <c r="B804" s="22">
        <v>797</v>
      </c>
      <c r="C804" s="8" t="s">
        <v>8</v>
      </c>
      <c r="D804" s="8" t="s">
        <v>4497</v>
      </c>
      <c r="E804" s="8" t="s">
        <v>4519</v>
      </c>
      <c r="F804" s="8" t="s">
        <v>390</v>
      </c>
      <c r="G804" s="8" t="s">
        <v>4520</v>
      </c>
      <c r="H804" s="8" t="s">
        <v>4521</v>
      </c>
      <c r="I804" s="8" t="s">
        <v>67</v>
      </c>
      <c r="J804" s="8">
        <v>2007</v>
      </c>
      <c r="K804" s="31">
        <v>0</v>
      </c>
      <c r="L804" s="31">
        <v>120</v>
      </c>
      <c r="M804" s="31">
        <v>45</v>
      </c>
      <c r="N804" s="31">
        <f t="shared" si="16"/>
        <v>165</v>
      </c>
      <c r="O804" s="24" t="s">
        <v>4522</v>
      </c>
      <c r="P804" s="24">
        <v>0</v>
      </c>
      <c r="Q804" s="8" t="s">
        <v>4523</v>
      </c>
      <c r="R804" s="8" t="s">
        <v>173</v>
      </c>
      <c r="S804" s="8" t="s">
        <v>4524</v>
      </c>
      <c r="T804" s="8"/>
      <c r="U804" s="8" t="s">
        <v>4525</v>
      </c>
      <c r="V804" s="8" t="s">
        <v>4526</v>
      </c>
    </row>
    <row r="805" spans="2:22" x14ac:dyDescent="0.3">
      <c r="B805" s="22">
        <v>798</v>
      </c>
      <c r="C805" s="8" t="s">
        <v>8</v>
      </c>
      <c r="D805" s="8" t="s">
        <v>4497</v>
      </c>
      <c r="E805" s="8" t="s">
        <v>4527</v>
      </c>
      <c r="F805" s="5" t="s">
        <v>1243</v>
      </c>
      <c r="G805" s="8" t="s">
        <v>4528</v>
      </c>
      <c r="H805" s="8" t="s">
        <v>4529</v>
      </c>
      <c r="I805" s="8" t="s">
        <v>51</v>
      </c>
      <c r="J805" s="8">
        <v>2018</v>
      </c>
      <c r="K805" s="31">
        <v>0</v>
      </c>
      <c r="L805" s="31">
        <v>92.5</v>
      </c>
      <c r="M805" s="31">
        <v>0</v>
      </c>
      <c r="N805" s="31">
        <f t="shared" si="16"/>
        <v>92.5</v>
      </c>
      <c r="O805" s="24">
        <v>0</v>
      </c>
      <c r="P805" s="24">
        <v>0</v>
      </c>
      <c r="Q805" s="8" t="s">
        <v>4530</v>
      </c>
      <c r="R805" s="7" t="s">
        <v>395</v>
      </c>
      <c r="S805" s="8"/>
      <c r="T805" s="8"/>
      <c r="U805" s="8" t="s">
        <v>4531</v>
      </c>
      <c r="V805" s="8" t="s">
        <v>4532</v>
      </c>
    </row>
    <row r="806" spans="2:22" x14ac:dyDescent="0.3">
      <c r="B806" s="22">
        <v>799</v>
      </c>
      <c r="C806" s="8" t="s">
        <v>8</v>
      </c>
      <c r="D806" s="8" t="s">
        <v>4497</v>
      </c>
      <c r="E806" s="8" t="s">
        <v>4533</v>
      </c>
      <c r="F806" s="5" t="s">
        <v>1243</v>
      </c>
      <c r="G806" s="8" t="s">
        <v>3979</v>
      </c>
      <c r="H806" s="8" t="s">
        <v>4534</v>
      </c>
      <c r="I806" s="8" t="s">
        <v>67</v>
      </c>
      <c r="J806" s="8">
        <v>2005</v>
      </c>
      <c r="K806" s="31">
        <v>0</v>
      </c>
      <c r="L806" s="31">
        <v>50</v>
      </c>
      <c r="M806" s="31">
        <v>10</v>
      </c>
      <c r="N806" s="31">
        <f t="shared" si="16"/>
        <v>60</v>
      </c>
      <c r="O806" s="24" t="s">
        <v>1801</v>
      </c>
      <c r="P806" s="24">
        <v>0</v>
      </c>
      <c r="Q806" s="8" t="s">
        <v>4535</v>
      </c>
      <c r="R806" s="8" t="s">
        <v>395</v>
      </c>
      <c r="S806" s="8" t="s">
        <v>4524</v>
      </c>
      <c r="T806" s="8"/>
      <c r="U806" s="8" t="s">
        <v>4536</v>
      </c>
      <c r="V806" s="8" t="s">
        <v>4537</v>
      </c>
    </row>
    <row r="807" spans="2:22" x14ac:dyDescent="0.3">
      <c r="B807" s="22">
        <v>800</v>
      </c>
      <c r="C807" s="8" t="s">
        <v>8</v>
      </c>
      <c r="D807" s="8" t="s">
        <v>4538</v>
      </c>
      <c r="E807" s="8" t="s">
        <v>4539</v>
      </c>
      <c r="F807" s="8" t="s">
        <v>55</v>
      </c>
      <c r="G807" s="8" t="s">
        <v>440</v>
      </c>
      <c r="H807" s="8" t="s">
        <v>4540</v>
      </c>
      <c r="I807" s="8" t="s">
        <v>51</v>
      </c>
      <c r="J807" s="8">
        <v>1985</v>
      </c>
      <c r="K807" s="31">
        <v>0</v>
      </c>
      <c r="L807" s="31">
        <v>65</v>
      </c>
      <c r="M807" s="31">
        <v>0</v>
      </c>
      <c r="N807" s="31">
        <f t="shared" si="16"/>
        <v>65</v>
      </c>
      <c r="O807" s="24">
        <v>0</v>
      </c>
      <c r="P807" s="24">
        <v>0</v>
      </c>
      <c r="Q807" s="8" t="s">
        <v>4541</v>
      </c>
      <c r="R807" s="8" t="s">
        <v>173</v>
      </c>
      <c r="S807" s="8" t="s">
        <v>2287</v>
      </c>
      <c r="T807" s="8"/>
      <c r="U807" s="8" t="s">
        <v>2140</v>
      </c>
      <c r="V807" s="8" t="s">
        <v>4542</v>
      </c>
    </row>
    <row r="808" spans="2:22" x14ac:dyDescent="0.3">
      <c r="B808" s="22">
        <v>801</v>
      </c>
      <c r="C808" s="8" t="s">
        <v>8</v>
      </c>
      <c r="D808" s="8" t="s">
        <v>4538</v>
      </c>
      <c r="E808" s="8" t="s">
        <v>4543</v>
      </c>
      <c r="F808" s="8" t="s">
        <v>55</v>
      </c>
      <c r="G808" s="8" t="s">
        <v>440</v>
      </c>
      <c r="H808" s="8" t="s">
        <v>4001</v>
      </c>
      <c r="I808" s="8" t="s">
        <v>51</v>
      </c>
      <c r="J808" s="8">
        <v>1999</v>
      </c>
      <c r="K808" s="31">
        <v>0</v>
      </c>
      <c r="L808" s="31">
        <v>250</v>
      </c>
      <c r="M808" s="31">
        <v>0</v>
      </c>
      <c r="N808" s="31">
        <f t="shared" si="16"/>
        <v>250</v>
      </c>
      <c r="O808" s="24">
        <v>0</v>
      </c>
      <c r="P808" s="24">
        <v>0</v>
      </c>
      <c r="Q808" s="8" t="s">
        <v>4544</v>
      </c>
      <c r="R808" s="8" t="s">
        <v>395</v>
      </c>
      <c r="S808" s="8"/>
      <c r="T808" s="8"/>
      <c r="U808" s="8" t="s">
        <v>2140</v>
      </c>
      <c r="V808" s="8" t="s">
        <v>4542</v>
      </c>
    </row>
    <row r="809" spans="2:22" x14ac:dyDescent="0.3">
      <c r="B809" s="22">
        <v>802</v>
      </c>
      <c r="C809" s="8" t="s">
        <v>8</v>
      </c>
      <c r="D809" s="8" t="s">
        <v>4545</v>
      </c>
      <c r="E809" s="8" t="s">
        <v>4546</v>
      </c>
      <c r="F809" s="8" t="s">
        <v>55</v>
      </c>
      <c r="G809" s="8" t="s">
        <v>4340</v>
      </c>
      <c r="H809" s="8" t="s">
        <v>4547</v>
      </c>
      <c r="I809" s="8" t="s">
        <v>51</v>
      </c>
      <c r="J809" s="8">
        <v>1997</v>
      </c>
      <c r="K809" s="31">
        <v>0</v>
      </c>
      <c r="L809" s="31">
        <v>1150</v>
      </c>
      <c r="M809" s="31">
        <v>0</v>
      </c>
      <c r="N809" s="31">
        <f t="shared" si="16"/>
        <v>1150</v>
      </c>
      <c r="O809" s="24">
        <v>0</v>
      </c>
      <c r="P809" s="24">
        <v>0</v>
      </c>
      <c r="Q809" s="8" t="s">
        <v>4548</v>
      </c>
      <c r="R809" s="8" t="s">
        <v>42</v>
      </c>
      <c r="S809" s="8" t="s">
        <v>4549</v>
      </c>
      <c r="T809" s="8"/>
      <c r="U809" s="8" t="s">
        <v>4550</v>
      </c>
      <c r="V809" s="8" t="s">
        <v>4551</v>
      </c>
    </row>
    <row r="810" spans="2:22" x14ac:dyDescent="0.3">
      <c r="B810" s="22">
        <v>803</v>
      </c>
      <c r="C810" s="8" t="s">
        <v>8</v>
      </c>
      <c r="D810" s="8" t="s">
        <v>4552</v>
      </c>
      <c r="E810" s="8" t="s">
        <v>4553</v>
      </c>
      <c r="F810" s="8" t="s">
        <v>55</v>
      </c>
      <c r="G810" s="8" t="s">
        <v>592</v>
      </c>
      <c r="H810" s="8" t="s">
        <v>4554</v>
      </c>
      <c r="I810" s="8" t="s">
        <v>51</v>
      </c>
      <c r="J810" s="8">
        <v>2004</v>
      </c>
      <c r="K810" s="31">
        <v>0</v>
      </c>
      <c r="L810" s="31">
        <v>700</v>
      </c>
      <c r="M810" s="31">
        <v>800</v>
      </c>
      <c r="N810" s="31">
        <f t="shared" si="16"/>
        <v>1500</v>
      </c>
      <c r="O810" s="24" t="s">
        <v>4555</v>
      </c>
      <c r="P810" s="24" t="s">
        <v>2167</v>
      </c>
      <c r="Q810" s="8" t="s">
        <v>4556</v>
      </c>
      <c r="R810" s="8" t="s">
        <v>173</v>
      </c>
      <c r="S810" s="8"/>
      <c r="T810" s="8"/>
      <c r="U810" s="8" t="s">
        <v>4557</v>
      </c>
      <c r="V810" s="8" t="s">
        <v>4558</v>
      </c>
    </row>
    <row r="811" spans="2:22" x14ac:dyDescent="0.3">
      <c r="B811" s="22">
        <v>804</v>
      </c>
      <c r="C811" s="8" t="s">
        <v>8</v>
      </c>
      <c r="D811" s="8" t="s">
        <v>4552</v>
      </c>
      <c r="E811" s="8" t="s">
        <v>4559</v>
      </c>
      <c r="F811" s="8" t="s">
        <v>55</v>
      </c>
      <c r="G811" s="8" t="s">
        <v>4560</v>
      </c>
      <c r="H811" s="8" t="s">
        <v>4561</v>
      </c>
      <c r="I811" s="8" t="s">
        <v>51</v>
      </c>
      <c r="J811" s="8">
        <v>2022</v>
      </c>
      <c r="K811" s="31">
        <v>0</v>
      </c>
      <c r="L811" s="31">
        <v>350</v>
      </c>
      <c r="M811" s="31">
        <v>0</v>
      </c>
      <c r="N811" s="31">
        <f t="shared" si="16"/>
        <v>350</v>
      </c>
      <c r="O811" s="24">
        <v>0</v>
      </c>
      <c r="P811" s="24">
        <v>0</v>
      </c>
      <c r="Q811" s="8"/>
      <c r="R811" s="8"/>
      <c r="S811" s="8"/>
      <c r="T811" s="8"/>
      <c r="U811" s="8" t="s">
        <v>4557</v>
      </c>
      <c r="V811" s="8" t="s">
        <v>4558</v>
      </c>
    </row>
    <row r="812" spans="2:22" x14ac:dyDescent="0.3">
      <c r="B812" s="22">
        <v>805</v>
      </c>
      <c r="C812" s="8" t="s">
        <v>8</v>
      </c>
      <c r="D812" s="8" t="s">
        <v>4562</v>
      </c>
      <c r="E812" s="8" t="s">
        <v>4563</v>
      </c>
      <c r="F812" s="8" t="s">
        <v>50</v>
      </c>
      <c r="G812" s="8" t="s">
        <v>440</v>
      </c>
      <c r="H812" s="8" t="s">
        <v>4564</v>
      </c>
      <c r="I812" s="8" t="s">
        <v>51</v>
      </c>
      <c r="J812" s="8">
        <v>1993</v>
      </c>
      <c r="K812" s="31">
        <v>30</v>
      </c>
      <c r="L812" s="31">
        <v>956</v>
      </c>
      <c r="M812" s="31">
        <v>0</v>
      </c>
      <c r="N812" s="31">
        <f t="shared" si="16"/>
        <v>986</v>
      </c>
      <c r="O812" s="24" t="s">
        <v>4565</v>
      </c>
      <c r="P812" s="24" t="s">
        <v>4565</v>
      </c>
      <c r="Q812" s="8" t="s">
        <v>4566</v>
      </c>
      <c r="R812" s="8" t="s">
        <v>457</v>
      </c>
      <c r="S812" s="8" t="s">
        <v>4567</v>
      </c>
      <c r="T812" s="8" t="s">
        <v>43</v>
      </c>
      <c r="U812" s="8" t="s">
        <v>4568</v>
      </c>
      <c r="V812" s="8" t="s">
        <v>4569</v>
      </c>
    </row>
    <row r="813" spans="2:22" x14ac:dyDescent="0.3">
      <c r="B813" s="22">
        <v>806</v>
      </c>
      <c r="C813" s="8" t="s">
        <v>8</v>
      </c>
      <c r="D813" s="8" t="s">
        <v>4562</v>
      </c>
      <c r="E813" s="8" t="s">
        <v>4570</v>
      </c>
      <c r="F813" s="8" t="s">
        <v>390</v>
      </c>
      <c r="G813" s="8" t="s">
        <v>440</v>
      </c>
      <c r="H813" s="8" t="s">
        <v>4564</v>
      </c>
      <c r="I813" s="8" t="s">
        <v>51</v>
      </c>
      <c r="J813" s="8">
        <v>2008</v>
      </c>
      <c r="K813" s="31">
        <v>0</v>
      </c>
      <c r="L813" s="31">
        <v>290</v>
      </c>
      <c r="M813" s="31">
        <v>0</v>
      </c>
      <c r="N813" s="31">
        <f t="shared" si="16"/>
        <v>290</v>
      </c>
      <c r="O813" s="24" t="s">
        <v>4565</v>
      </c>
      <c r="P813" s="24" t="s">
        <v>4565</v>
      </c>
      <c r="Q813" s="8" t="s">
        <v>4571</v>
      </c>
      <c r="R813" s="8" t="s">
        <v>457</v>
      </c>
      <c r="S813" s="8" t="s">
        <v>4572</v>
      </c>
      <c r="T813" s="8"/>
      <c r="U813" s="8" t="s">
        <v>4573</v>
      </c>
      <c r="V813" s="8" t="s">
        <v>4574</v>
      </c>
    </row>
    <row r="814" spans="2:22" x14ac:dyDescent="0.3">
      <c r="B814" s="22">
        <v>807</v>
      </c>
      <c r="C814" s="8" t="s">
        <v>8</v>
      </c>
      <c r="D814" s="8" t="s">
        <v>4562</v>
      </c>
      <c r="E814" s="8" t="s">
        <v>4575</v>
      </c>
      <c r="F814" s="8" t="s">
        <v>95</v>
      </c>
      <c r="G814" s="8" t="s">
        <v>440</v>
      </c>
      <c r="H814" s="8" t="s">
        <v>4564</v>
      </c>
      <c r="I814" s="8" t="s">
        <v>51</v>
      </c>
      <c r="J814" s="8">
        <v>2014</v>
      </c>
      <c r="K814" s="31">
        <v>0</v>
      </c>
      <c r="L814" s="31">
        <v>400</v>
      </c>
      <c r="M814" s="31">
        <v>0</v>
      </c>
      <c r="N814" s="31">
        <f t="shared" si="16"/>
        <v>400</v>
      </c>
      <c r="O814" s="24" t="s">
        <v>4565</v>
      </c>
      <c r="P814" s="24" t="s">
        <v>4565</v>
      </c>
      <c r="Q814" s="8"/>
      <c r="R814" s="8"/>
      <c r="S814" s="8"/>
      <c r="T814" s="8"/>
      <c r="U814" s="8" t="s">
        <v>4576</v>
      </c>
      <c r="V814" s="8" t="s">
        <v>4577</v>
      </c>
    </row>
    <row r="815" spans="2:22" x14ac:dyDescent="0.3">
      <c r="B815" s="22">
        <v>808</v>
      </c>
      <c r="C815" s="8" t="s">
        <v>8</v>
      </c>
      <c r="D815" s="8" t="s">
        <v>4562</v>
      </c>
      <c r="E815" s="8" t="s">
        <v>4578</v>
      </c>
      <c r="F815" s="8" t="s">
        <v>95</v>
      </c>
      <c r="G815" s="8" t="s">
        <v>560</v>
      </c>
      <c r="H815" s="8" t="s">
        <v>4579</v>
      </c>
      <c r="I815" s="8" t="s">
        <v>51</v>
      </c>
      <c r="J815" s="8">
        <v>2014</v>
      </c>
      <c r="K815" s="31">
        <v>0</v>
      </c>
      <c r="L815" s="31">
        <v>44</v>
      </c>
      <c r="M815" s="31">
        <v>0</v>
      </c>
      <c r="N815" s="31">
        <f t="shared" si="16"/>
        <v>44</v>
      </c>
      <c r="O815" s="24" t="s">
        <v>4580</v>
      </c>
      <c r="P815" s="24" t="s">
        <v>4565</v>
      </c>
      <c r="Q815" s="8"/>
      <c r="R815" s="8"/>
      <c r="S815" s="8"/>
      <c r="T815" s="8"/>
      <c r="U815" s="8" t="s">
        <v>4581</v>
      </c>
      <c r="V815" s="8" t="s">
        <v>4582</v>
      </c>
    </row>
    <row r="816" spans="2:22" x14ac:dyDescent="0.3">
      <c r="B816" s="22">
        <v>809</v>
      </c>
      <c r="C816" s="8" t="s">
        <v>8</v>
      </c>
      <c r="D816" s="8" t="s">
        <v>4562</v>
      </c>
      <c r="E816" s="8" t="s">
        <v>4583</v>
      </c>
      <c r="F816" s="8" t="s">
        <v>390</v>
      </c>
      <c r="G816" s="8" t="s">
        <v>440</v>
      </c>
      <c r="H816" s="8" t="s">
        <v>4564</v>
      </c>
      <c r="I816" s="8" t="s">
        <v>51</v>
      </c>
      <c r="J816" s="8">
        <v>2017</v>
      </c>
      <c r="K816" s="31">
        <v>0</v>
      </c>
      <c r="L816" s="31">
        <v>25</v>
      </c>
      <c r="M816" s="31">
        <v>25</v>
      </c>
      <c r="N816" s="31">
        <f t="shared" si="16"/>
        <v>50</v>
      </c>
      <c r="O816" s="24">
        <v>0</v>
      </c>
      <c r="P816" s="24">
        <v>0</v>
      </c>
      <c r="Q816" s="8" t="s">
        <v>4584</v>
      </c>
      <c r="R816" s="168" t="s">
        <v>1394</v>
      </c>
      <c r="S816" s="8"/>
      <c r="T816" s="8"/>
      <c r="U816" s="8" t="s">
        <v>4585</v>
      </c>
      <c r="V816" s="8" t="s">
        <v>4586</v>
      </c>
    </row>
    <row r="817" spans="2:22" x14ac:dyDescent="0.3">
      <c r="B817" s="22">
        <v>810</v>
      </c>
      <c r="C817" s="8" t="s">
        <v>8</v>
      </c>
      <c r="D817" s="8" t="s">
        <v>4562</v>
      </c>
      <c r="E817" s="8" t="s">
        <v>4587</v>
      </c>
      <c r="F817" s="8" t="s">
        <v>4088</v>
      </c>
      <c r="G817" s="8" t="s">
        <v>440</v>
      </c>
      <c r="H817" s="8" t="s">
        <v>4588</v>
      </c>
      <c r="I817" s="8" t="s">
        <v>51</v>
      </c>
      <c r="J817" s="8">
        <v>2022</v>
      </c>
      <c r="K817" s="31">
        <v>0</v>
      </c>
      <c r="L817" s="31">
        <v>91</v>
      </c>
      <c r="M817" s="31">
        <v>0</v>
      </c>
      <c r="N817" s="31">
        <f t="shared" si="16"/>
        <v>91</v>
      </c>
      <c r="O817" s="24">
        <v>0</v>
      </c>
      <c r="P817" s="24">
        <v>0</v>
      </c>
      <c r="Q817" s="8"/>
      <c r="R817" s="8"/>
      <c r="S817" s="8"/>
      <c r="T817" s="8"/>
      <c r="U817" s="8" t="s">
        <v>4589</v>
      </c>
      <c r="V817" s="8" t="s">
        <v>4590</v>
      </c>
    </row>
    <row r="818" spans="2:22" x14ac:dyDescent="0.3">
      <c r="B818" s="22">
        <v>811</v>
      </c>
      <c r="C818" s="8" t="s">
        <v>8</v>
      </c>
      <c r="D818" s="8" t="s">
        <v>4562</v>
      </c>
      <c r="E818" s="8" t="s">
        <v>4591</v>
      </c>
      <c r="F818" s="8" t="s">
        <v>4088</v>
      </c>
      <c r="G818" s="8" t="s">
        <v>440</v>
      </c>
      <c r="H818" s="8" t="s">
        <v>4592</v>
      </c>
      <c r="I818" s="8" t="s">
        <v>51</v>
      </c>
      <c r="J818" s="8">
        <v>2022</v>
      </c>
      <c r="K818" s="31">
        <v>0</v>
      </c>
      <c r="L818" s="31">
        <v>30</v>
      </c>
      <c r="M818" s="31">
        <v>0</v>
      </c>
      <c r="N818" s="31">
        <f t="shared" si="16"/>
        <v>30</v>
      </c>
      <c r="O818" s="24">
        <v>0</v>
      </c>
      <c r="P818" s="24">
        <v>0</v>
      </c>
      <c r="Q818" s="8"/>
      <c r="R818" s="8"/>
      <c r="S818" s="8"/>
      <c r="T818" s="8"/>
      <c r="U818" s="8" t="s">
        <v>4593</v>
      </c>
      <c r="V818" s="8" t="s">
        <v>4594</v>
      </c>
    </row>
    <row r="819" spans="2:22" x14ac:dyDescent="0.3">
      <c r="B819" s="22">
        <v>812</v>
      </c>
      <c r="C819" s="36" t="s">
        <v>5</v>
      </c>
      <c r="D819" s="36" t="s">
        <v>4610</v>
      </c>
      <c r="E819" s="36" t="s">
        <v>4611</v>
      </c>
      <c r="F819" s="36" t="s">
        <v>4612</v>
      </c>
      <c r="G819" s="36" t="s">
        <v>4613</v>
      </c>
      <c r="H819" s="78" t="s">
        <v>4614</v>
      </c>
      <c r="I819" s="36" t="s">
        <v>51</v>
      </c>
      <c r="J819" s="36">
        <v>2021</v>
      </c>
      <c r="K819" s="36"/>
      <c r="L819" s="36">
        <v>80</v>
      </c>
      <c r="M819" s="36"/>
      <c r="N819" s="36">
        <v>80</v>
      </c>
      <c r="O819" s="36" t="s">
        <v>4615</v>
      </c>
      <c r="P819" s="36" t="s">
        <v>1907</v>
      </c>
      <c r="Q819" s="36"/>
      <c r="R819" s="36"/>
      <c r="S819" s="36"/>
      <c r="T819" s="36"/>
      <c r="U819" s="36" t="s">
        <v>4616</v>
      </c>
      <c r="V819" s="36" t="s">
        <v>4617</v>
      </c>
    </row>
    <row r="820" spans="2:22" x14ac:dyDescent="0.3">
      <c r="B820" s="22">
        <v>813</v>
      </c>
      <c r="C820" s="36" t="s">
        <v>5</v>
      </c>
      <c r="D820" s="36" t="s">
        <v>4610</v>
      </c>
      <c r="E820" s="148" t="s">
        <v>4618</v>
      </c>
      <c r="F820" s="36" t="s">
        <v>4619</v>
      </c>
      <c r="G820" s="148" t="s">
        <v>4620</v>
      </c>
      <c r="H820" s="217" t="s">
        <v>4621</v>
      </c>
      <c r="I820" s="148" t="s">
        <v>51</v>
      </c>
      <c r="J820" s="148">
        <v>2021</v>
      </c>
      <c r="K820" s="148"/>
      <c r="L820" s="148">
        <v>230</v>
      </c>
      <c r="M820" s="148"/>
      <c r="N820" s="148">
        <v>230</v>
      </c>
      <c r="O820" s="148" t="s">
        <v>4622</v>
      </c>
      <c r="P820" s="148"/>
      <c r="Q820" s="148"/>
      <c r="R820" s="148"/>
      <c r="S820" s="148"/>
      <c r="T820" s="148"/>
      <c r="U820" s="148" t="s">
        <v>4623</v>
      </c>
      <c r="V820" s="148" t="s">
        <v>4624</v>
      </c>
    </row>
    <row r="821" spans="2:22" x14ac:dyDescent="0.3">
      <c r="B821" s="22">
        <v>814</v>
      </c>
      <c r="C821" s="36" t="s">
        <v>5</v>
      </c>
      <c r="D821" s="36" t="s">
        <v>4610</v>
      </c>
      <c r="E821" s="148" t="s">
        <v>4625</v>
      </c>
      <c r="F821" s="36" t="s">
        <v>4626</v>
      </c>
      <c r="G821" s="148" t="s">
        <v>4627</v>
      </c>
      <c r="H821" s="217" t="s">
        <v>4628</v>
      </c>
      <c r="I821" s="148" t="s">
        <v>4629</v>
      </c>
      <c r="J821" s="148">
        <v>2019</v>
      </c>
      <c r="K821" s="148"/>
      <c r="L821" s="148">
        <v>300</v>
      </c>
      <c r="M821" s="148"/>
      <c r="N821" s="148">
        <v>300</v>
      </c>
      <c r="O821" s="148" t="s">
        <v>77</v>
      </c>
      <c r="P821" s="148"/>
      <c r="Q821" s="148"/>
      <c r="R821" s="148"/>
      <c r="S821" s="148"/>
      <c r="T821" s="148"/>
      <c r="U821" s="148" t="s">
        <v>4630</v>
      </c>
      <c r="V821" s="148" t="s">
        <v>4631</v>
      </c>
    </row>
    <row r="822" spans="2:22" x14ac:dyDescent="0.3">
      <c r="B822" s="22">
        <v>815</v>
      </c>
      <c r="C822" s="22" t="s">
        <v>5</v>
      </c>
      <c r="D822" s="22" t="s">
        <v>4632</v>
      </c>
      <c r="E822" s="22" t="s">
        <v>4633</v>
      </c>
      <c r="F822" s="8" t="s">
        <v>50</v>
      </c>
      <c r="G822" s="8" t="s">
        <v>4634</v>
      </c>
      <c r="H822" s="8" t="s">
        <v>4635</v>
      </c>
      <c r="I822" s="22" t="s">
        <v>67</v>
      </c>
      <c r="J822" s="22" t="s">
        <v>1334</v>
      </c>
      <c r="K822" s="22">
        <v>0</v>
      </c>
      <c r="L822" s="22">
        <v>800</v>
      </c>
      <c r="M822" s="22">
        <v>0</v>
      </c>
      <c r="N822" s="22">
        <v>800</v>
      </c>
      <c r="O822" s="59" t="s">
        <v>4636</v>
      </c>
      <c r="P822" s="59" t="s">
        <v>4637</v>
      </c>
      <c r="Q822" s="237" t="s">
        <v>4638</v>
      </c>
      <c r="R822" s="84" t="s">
        <v>457</v>
      </c>
      <c r="S822" s="8" t="s">
        <v>4639</v>
      </c>
      <c r="T822" s="22" t="s">
        <v>43</v>
      </c>
      <c r="U822" s="22" t="s">
        <v>4640</v>
      </c>
      <c r="V822" s="22" t="s">
        <v>4641</v>
      </c>
    </row>
    <row r="823" spans="2:22" x14ac:dyDescent="0.3">
      <c r="B823" s="22">
        <v>816</v>
      </c>
      <c r="C823" s="238" t="s">
        <v>5</v>
      </c>
      <c r="D823" s="238" t="s">
        <v>4642</v>
      </c>
      <c r="E823" s="239" t="s">
        <v>4643</v>
      </c>
      <c r="F823" s="239" t="s">
        <v>4644</v>
      </c>
      <c r="G823" s="238" t="s">
        <v>4645</v>
      </c>
      <c r="H823" s="238" t="s">
        <v>4646</v>
      </c>
      <c r="I823" s="240" t="s">
        <v>4647</v>
      </c>
      <c r="J823" s="238" t="s">
        <v>4648</v>
      </c>
      <c r="K823" s="238">
        <v>0</v>
      </c>
      <c r="L823" s="238">
        <v>826</v>
      </c>
      <c r="M823" s="238">
        <v>0</v>
      </c>
      <c r="N823" s="238">
        <v>826</v>
      </c>
      <c r="O823" s="238" t="s">
        <v>1766</v>
      </c>
      <c r="P823" s="238" t="s">
        <v>68</v>
      </c>
      <c r="Q823" s="238" t="s">
        <v>68</v>
      </c>
      <c r="R823" s="238" t="s">
        <v>68</v>
      </c>
      <c r="S823" s="239" t="s">
        <v>68</v>
      </c>
      <c r="T823" s="238" t="s">
        <v>68</v>
      </c>
      <c r="U823" s="5" t="s">
        <v>4649</v>
      </c>
      <c r="V823" s="5" t="s">
        <v>4650</v>
      </c>
    </row>
    <row r="824" spans="2:22" x14ac:dyDescent="0.3">
      <c r="B824" s="22">
        <v>817</v>
      </c>
      <c r="C824" s="238" t="s">
        <v>5</v>
      </c>
      <c r="D824" s="238" t="s">
        <v>4651</v>
      </c>
      <c r="E824" s="238" t="s">
        <v>4652</v>
      </c>
      <c r="F824" s="239" t="s">
        <v>4644</v>
      </c>
      <c r="G824" s="238" t="s">
        <v>2933</v>
      </c>
      <c r="H824" s="238" t="s">
        <v>4653</v>
      </c>
      <c r="I824" s="240" t="s">
        <v>4647</v>
      </c>
      <c r="J824" s="238" t="s">
        <v>4654</v>
      </c>
      <c r="K824" s="238" t="s">
        <v>2146</v>
      </c>
      <c r="L824" s="238">
        <v>880</v>
      </c>
      <c r="M824" s="238" t="s">
        <v>2146</v>
      </c>
      <c r="N824" s="238">
        <v>880</v>
      </c>
      <c r="O824" s="238" t="s">
        <v>4231</v>
      </c>
      <c r="P824" s="238" t="s">
        <v>1766</v>
      </c>
      <c r="Q824" s="238" t="s">
        <v>1608</v>
      </c>
      <c r="R824" s="238" t="s">
        <v>2146</v>
      </c>
      <c r="S824" s="239"/>
      <c r="T824" s="238"/>
      <c r="U824" s="5" t="s">
        <v>4655</v>
      </c>
      <c r="V824" s="5" t="s">
        <v>4656</v>
      </c>
    </row>
    <row r="825" spans="2:22" x14ac:dyDescent="0.3">
      <c r="B825" s="22">
        <v>818</v>
      </c>
      <c r="C825" s="22" t="s">
        <v>5</v>
      </c>
      <c r="D825" s="22" t="s">
        <v>4657</v>
      </c>
      <c r="E825" s="8" t="s">
        <v>4658</v>
      </c>
      <c r="F825" s="8" t="s">
        <v>4659</v>
      </c>
      <c r="G825" s="8" t="s">
        <v>4660</v>
      </c>
      <c r="H825" s="8" t="s">
        <v>4661</v>
      </c>
      <c r="I825" s="8" t="s">
        <v>4647</v>
      </c>
      <c r="J825" s="22" t="s">
        <v>4662</v>
      </c>
      <c r="K825" s="36">
        <v>0</v>
      </c>
      <c r="L825" s="22">
        <v>260</v>
      </c>
      <c r="M825" s="36">
        <v>0</v>
      </c>
      <c r="N825" s="22">
        <v>260</v>
      </c>
      <c r="O825" s="8" t="s">
        <v>4663</v>
      </c>
      <c r="P825" s="22" t="s">
        <v>730</v>
      </c>
      <c r="Q825" s="22"/>
      <c r="R825" s="22"/>
      <c r="S825" s="8"/>
      <c r="T825" s="22"/>
      <c r="U825" s="8" t="s">
        <v>4664</v>
      </c>
      <c r="V825" s="8" t="s">
        <v>4665</v>
      </c>
    </row>
    <row r="826" spans="2:22" x14ac:dyDescent="0.3">
      <c r="B826" s="22">
        <v>819</v>
      </c>
      <c r="C826" s="148" t="s">
        <v>5</v>
      </c>
      <c r="D826" s="148" t="s">
        <v>4657</v>
      </c>
      <c r="E826" s="148" t="s">
        <v>4666</v>
      </c>
      <c r="F826" s="148" t="s">
        <v>4667</v>
      </c>
      <c r="G826" s="148" t="s">
        <v>4668</v>
      </c>
      <c r="H826" s="148" t="s">
        <v>4669</v>
      </c>
      <c r="I826" s="148" t="s">
        <v>4670</v>
      </c>
      <c r="J826" s="148" t="s">
        <v>4671</v>
      </c>
      <c r="K826" s="36">
        <v>0</v>
      </c>
      <c r="L826" s="148">
        <v>100</v>
      </c>
      <c r="M826" s="36">
        <v>0</v>
      </c>
      <c r="N826" s="148">
        <v>100</v>
      </c>
      <c r="O826" s="148">
        <v>400</v>
      </c>
      <c r="P826" s="148">
        <v>0</v>
      </c>
      <c r="Q826" s="148" t="s">
        <v>4672</v>
      </c>
      <c r="R826" s="148" t="s">
        <v>4673</v>
      </c>
      <c r="S826" s="148" t="s">
        <v>4674</v>
      </c>
      <c r="T826" s="148"/>
      <c r="U826" s="148" t="s">
        <v>4664</v>
      </c>
      <c r="V826" s="148" t="s">
        <v>4665</v>
      </c>
    </row>
    <row r="827" spans="2:22" x14ac:dyDescent="0.3">
      <c r="B827" s="22">
        <v>820</v>
      </c>
      <c r="C827" s="36" t="s">
        <v>5</v>
      </c>
      <c r="D827" s="36" t="s">
        <v>4657</v>
      </c>
      <c r="E827" s="36" t="s">
        <v>4675</v>
      </c>
      <c r="F827" s="36" t="s">
        <v>50</v>
      </c>
      <c r="G827" s="36" t="s">
        <v>4676</v>
      </c>
      <c r="H827" s="36" t="s">
        <v>4677</v>
      </c>
      <c r="I827" s="36" t="s">
        <v>4647</v>
      </c>
      <c r="J827" s="36" t="s">
        <v>4678</v>
      </c>
      <c r="K827" s="36">
        <v>0</v>
      </c>
      <c r="L827" s="36">
        <v>26</v>
      </c>
      <c r="M827" s="36">
        <v>54</v>
      </c>
      <c r="N827" s="36">
        <v>80</v>
      </c>
      <c r="O827" s="36">
        <v>50</v>
      </c>
      <c r="P827" s="36">
        <v>0</v>
      </c>
      <c r="Q827" s="36"/>
      <c r="R827" s="36"/>
      <c r="S827" s="36"/>
      <c r="T827" s="36"/>
      <c r="U827" s="36" t="s">
        <v>4679</v>
      </c>
      <c r="V827" s="36" t="s">
        <v>4680</v>
      </c>
    </row>
    <row r="828" spans="2:22" x14ac:dyDescent="0.3">
      <c r="B828" s="22">
        <v>821</v>
      </c>
      <c r="C828" s="22" t="s">
        <v>5</v>
      </c>
      <c r="D828" s="22" t="s">
        <v>4657</v>
      </c>
      <c r="E828" s="8" t="s">
        <v>4681</v>
      </c>
      <c r="F828" s="8" t="s">
        <v>4682</v>
      </c>
      <c r="G828" s="8" t="s">
        <v>4683</v>
      </c>
      <c r="H828" s="8" t="s">
        <v>4684</v>
      </c>
      <c r="I828" s="8" t="s">
        <v>4647</v>
      </c>
      <c r="J828" s="22" t="s">
        <v>4685</v>
      </c>
      <c r="K828" s="36">
        <v>0</v>
      </c>
      <c r="L828" s="22">
        <v>30</v>
      </c>
      <c r="M828" s="36">
        <v>0</v>
      </c>
      <c r="N828" s="22">
        <v>30</v>
      </c>
      <c r="O828" s="8" t="s">
        <v>4686</v>
      </c>
      <c r="P828" s="22" t="s">
        <v>730</v>
      </c>
      <c r="Q828" s="22"/>
      <c r="R828" s="22"/>
      <c r="S828" s="8"/>
      <c r="T828" s="22"/>
      <c r="U828" s="8" t="s">
        <v>4687</v>
      </c>
      <c r="V828" s="8" t="s">
        <v>4688</v>
      </c>
    </row>
    <row r="829" spans="2:22" x14ac:dyDescent="0.3">
      <c r="B829" s="22">
        <v>822</v>
      </c>
      <c r="C829" s="22" t="s">
        <v>5</v>
      </c>
      <c r="D829" s="148" t="s">
        <v>4745</v>
      </c>
      <c r="E829" s="148" t="s">
        <v>4689</v>
      </c>
      <c r="F829" s="148" t="s">
        <v>4690</v>
      </c>
      <c r="G829" s="148" t="s">
        <v>4691</v>
      </c>
      <c r="H829" s="148" t="s">
        <v>4692</v>
      </c>
      <c r="I829" s="148" t="s">
        <v>869</v>
      </c>
      <c r="J829" s="148" t="s">
        <v>4693</v>
      </c>
      <c r="K829" s="148">
        <v>0</v>
      </c>
      <c r="L829" s="76">
        <v>1160</v>
      </c>
      <c r="M829" s="76">
        <v>0</v>
      </c>
      <c r="N829" s="76">
        <v>1160</v>
      </c>
      <c r="O829" s="76" t="s">
        <v>4694</v>
      </c>
      <c r="P829" s="148"/>
      <c r="Q829" s="148"/>
      <c r="R829" s="148"/>
      <c r="S829" s="148"/>
      <c r="T829" s="148"/>
      <c r="U829" s="148" t="s">
        <v>4695</v>
      </c>
      <c r="V829" s="148" t="s">
        <v>4696</v>
      </c>
    </row>
    <row r="830" spans="2:22" x14ac:dyDescent="0.3">
      <c r="B830" s="22">
        <v>823</v>
      </c>
      <c r="C830" s="22" t="s">
        <v>5</v>
      </c>
      <c r="D830" s="148" t="s">
        <v>4745</v>
      </c>
      <c r="E830" s="148" t="s">
        <v>4697</v>
      </c>
      <c r="F830" s="148" t="s">
        <v>1383</v>
      </c>
      <c r="G830" s="148" t="s">
        <v>4698</v>
      </c>
      <c r="H830" s="148" t="s">
        <v>4699</v>
      </c>
      <c r="I830" s="148" t="s">
        <v>119</v>
      </c>
      <c r="J830" s="148">
        <v>2003</v>
      </c>
      <c r="K830" s="148"/>
      <c r="L830" s="148">
        <v>93</v>
      </c>
      <c r="M830" s="148"/>
      <c r="N830" s="148">
        <f>K830+L830</f>
        <v>93</v>
      </c>
      <c r="O830" s="148" t="s">
        <v>4700</v>
      </c>
      <c r="P830" s="148" t="s">
        <v>4701</v>
      </c>
      <c r="Q830" s="148" t="s">
        <v>4702</v>
      </c>
      <c r="R830" s="148"/>
      <c r="S830" s="148"/>
      <c r="T830" s="148"/>
      <c r="U830" s="148" t="s">
        <v>4703</v>
      </c>
      <c r="V830" s="148" t="s">
        <v>4704</v>
      </c>
    </row>
    <row r="831" spans="2:22" x14ac:dyDescent="0.3">
      <c r="B831" s="22">
        <v>824</v>
      </c>
      <c r="C831" s="22" t="s">
        <v>5</v>
      </c>
      <c r="D831" s="148" t="s">
        <v>4745</v>
      </c>
      <c r="E831" s="8" t="s">
        <v>4705</v>
      </c>
      <c r="F831" s="8" t="s">
        <v>4659</v>
      </c>
      <c r="G831" s="8" t="s">
        <v>4706</v>
      </c>
      <c r="H831" s="8" t="s">
        <v>4707</v>
      </c>
      <c r="I831" s="8" t="s">
        <v>4647</v>
      </c>
      <c r="J831" s="22" t="s">
        <v>1282</v>
      </c>
      <c r="K831" s="36">
        <v>0</v>
      </c>
      <c r="L831" s="22">
        <v>1000</v>
      </c>
      <c r="M831" s="36">
        <v>0</v>
      </c>
      <c r="N831" s="22">
        <v>1000</v>
      </c>
      <c r="O831" s="8" t="s">
        <v>4708</v>
      </c>
      <c r="P831" s="22"/>
      <c r="Q831" s="22"/>
      <c r="R831" s="22"/>
      <c r="S831" s="8"/>
      <c r="T831" s="22"/>
      <c r="U831" s="8" t="s">
        <v>4709</v>
      </c>
      <c r="V831" s="8" t="s">
        <v>4710</v>
      </c>
    </row>
    <row r="832" spans="2:22" x14ac:dyDescent="0.3">
      <c r="B832" s="22">
        <v>825</v>
      </c>
      <c r="C832" s="8" t="s">
        <v>5</v>
      </c>
      <c r="D832" s="8" t="s">
        <v>4711</v>
      </c>
      <c r="E832" s="8" t="s">
        <v>4712</v>
      </c>
      <c r="F832" s="8" t="s">
        <v>55</v>
      </c>
      <c r="G832" s="8" t="s">
        <v>4713</v>
      </c>
      <c r="H832" s="8" t="s">
        <v>4714</v>
      </c>
      <c r="I832" s="8" t="s">
        <v>4647</v>
      </c>
      <c r="J832" s="8">
        <v>2012</v>
      </c>
      <c r="K832" s="8"/>
      <c r="L832" s="8">
        <v>800</v>
      </c>
      <c r="M832" s="8"/>
      <c r="N832" s="8">
        <v>800</v>
      </c>
      <c r="O832" s="8" t="s">
        <v>4231</v>
      </c>
      <c r="P832" s="8" t="s">
        <v>401</v>
      </c>
      <c r="Q832" s="8" t="s">
        <v>4715</v>
      </c>
      <c r="R832" s="8" t="s">
        <v>4716</v>
      </c>
      <c r="S832" s="8" t="s">
        <v>4717</v>
      </c>
      <c r="T832" s="8"/>
      <c r="U832" s="8" t="s">
        <v>4718</v>
      </c>
      <c r="V832" s="8" t="s">
        <v>4719</v>
      </c>
    </row>
    <row r="833" spans="2:22" x14ac:dyDescent="0.3">
      <c r="B833" s="22">
        <v>826</v>
      </c>
      <c r="C833" s="148" t="s">
        <v>5</v>
      </c>
      <c r="D833" s="148" t="s">
        <v>4711</v>
      </c>
      <c r="E833" s="148" t="s">
        <v>4720</v>
      </c>
      <c r="F833" s="148" t="s">
        <v>106</v>
      </c>
      <c r="G833" s="148" t="s">
        <v>4721</v>
      </c>
      <c r="H833" s="148" t="s">
        <v>4722</v>
      </c>
      <c r="I833" s="148" t="s">
        <v>51</v>
      </c>
      <c r="J833" s="148">
        <v>2019</v>
      </c>
      <c r="K833" s="148"/>
      <c r="L833" s="148">
        <v>50</v>
      </c>
      <c r="M833" s="148"/>
      <c r="N833" s="148">
        <v>50</v>
      </c>
      <c r="O833" s="148" t="s">
        <v>4723</v>
      </c>
      <c r="P833" s="148"/>
      <c r="Q833" s="148"/>
      <c r="R833" s="148"/>
      <c r="S833" s="148"/>
      <c r="T833" s="148"/>
      <c r="U833" s="148" t="s">
        <v>4724</v>
      </c>
      <c r="V833" s="148" t="s">
        <v>4725</v>
      </c>
    </row>
    <row r="834" spans="2:22" x14ac:dyDescent="0.3">
      <c r="B834" s="22">
        <v>827</v>
      </c>
      <c r="C834" s="148" t="s">
        <v>5</v>
      </c>
      <c r="D834" s="148" t="s">
        <v>4711</v>
      </c>
      <c r="E834" s="148" t="s">
        <v>4726</v>
      </c>
      <c r="F834" s="148" t="s">
        <v>106</v>
      </c>
      <c r="G834" s="148" t="s">
        <v>4727</v>
      </c>
      <c r="H834" s="148" t="s">
        <v>4728</v>
      </c>
      <c r="I834" s="148" t="s">
        <v>67</v>
      </c>
      <c r="J834" s="148">
        <v>2017</v>
      </c>
      <c r="K834" s="148"/>
      <c r="L834" s="148">
        <v>80</v>
      </c>
      <c r="M834" s="148"/>
      <c r="N834" s="148">
        <v>80</v>
      </c>
      <c r="O834" s="225">
        <v>1367</v>
      </c>
      <c r="P834" s="148"/>
      <c r="Q834" s="148"/>
      <c r="R834" s="148"/>
      <c r="S834" s="148"/>
      <c r="T834" s="148"/>
      <c r="U834" s="148" t="s">
        <v>4724</v>
      </c>
      <c r="V834" s="148" t="s">
        <v>4725</v>
      </c>
    </row>
    <row r="835" spans="2:22" x14ac:dyDescent="0.3">
      <c r="B835" s="22">
        <v>828</v>
      </c>
      <c r="C835" s="148" t="s">
        <v>4729</v>
      </c>
      <c r="D835" s="148" t="s">
        <v>4730</v>
      </c>
      <c r="E835" s="148" t="s">
        <v>4731</v>
      </c>
      <c r="F835" s="148" t="s">
        <v>4732</v>
      </c>
      <c r="G835" s="148" t="s">
        <v>420</v>
      </c>
      <c r="H835" s="148" t="s">
        <v>4733</v>
      </c>
      <c r="I835" s="148" t="s">
        <v>420</v>
      </c>
      <c r="J835" s="148" t="s">
        <v>273</v>
      </c>
      <c r="K835" s="148"/>
      <c r="L835" s="148"/>
      <c r="M835" s="148">
        <v>200</v>
      </c>
      <c r="N835" s="148">
        <v>200</v>
      </c>
      <c r="O835" s="148"/>
      <c r="P835" s="148"/>
      <c r="Q835" s="241" t="s">
        <v>4734</v>
      </c>
      <c r="R835" s="148" t="s">
        <v>542</v>
      </c>
      <c r="S835" s="148" t="s">
        <v>4735</v>
      </c>
      <c r="T835" s="148"/>
      <c r="U835" s="148" t="s">
        <v>4736</v>
      </c>
      <c r="V835" s="148" t="s">
        <v>4737</v>
      </c>
    </row>
    <row r="836" spans="2:22" x14ac:dyDescent="0.3">
      <c r="B836" s="22">
        <v>829</v>
      </c>
      <c r="C836" s="36" t="s">
        <v>5</v>
      </c>
      <c r="D836" s="36" t="s">
        <v>4651</v>
      </c>
      <c r="E836" s="36" t="s">
        <v>4738</v>
      </c>
      <c r="F836" s="36" t="s">
        <v>55</v>
      </c>
      <c r="G836" s="36" t="s">
        <v>4739</v>
      </c>
      <c r="H836" s="36" t="s">
        <v>4740</v>
      </c>
      <c r="I836" s="36" t="s">
        <v>4741</v>
      </c>
      <c r="J836" s="36" t="s">
        <v>1386</v>
      </c>
      <c r="K836" s="36">
        <v>0</v>
      </c>
      <c r="L836" s="36">
        <v>660</v>
      </c>
      <c r="M836" s="36">
        <v>0</v>
      </c>
      <c r="N836" s="36">
        <f>K836+L836+M836</f>
        <v>660</v>
      </c>
      <c r="O836" s="36" t="s">
        <v>4742</v>
      </c>
      <c r="P836" s="36"/>
      <c r="Q836" s="36"/>
      <c r="R836" s="36"/>
      <c r="S836" s="36"/>
      <c r="T836" s="36"/>
      <c r="U836" s="36" t="s">
        <v>4743</v>
      </c>
      <c r="V836" s="36" t="s">
        <v>4744</v>
      </c>
    </row>
    <row r="837" spans="2:22" x14ac:dyDescent="0.3">
      <c r="B837" s="22">
        <v>830</v>
      </c>
      <c r="C837" s="28" t="s">
        <v>10</v>
      </c>
      <c r="D837" s="28" t="s">
        <v>4746</v>
      </c>
      <c r="E837" s="28" t="s">
        <v>4747</v>
      </c>
      <c r="F837" s="28" t="s">
        <v>390</v>
      </c>
      <c r="G837" s="28" t="s">
        <v>4748</v>
      </c>
      <c r="H837" s="28" t="s">
        <v>4749</v>
      </c>
      <c r="I837" s="28" t="s">
        <v>67</v>
      </c>
      <c r="J837" s="10">
        <v>2008</v>
      </c>
      <c r="K837" s="28">
        <v>0</v>
      </c>
      <c r="L837" s="28">
        <v>2425</v>
      </c>
      <c r="M837" s="28">
        <v>0</v>
      </c>
      <c r="N837" s="28">
        <v>2425</v>
      </c>
      <c r="O837" s="28">
        <v>500000</v>
      </c>
      <c r="P837" s="28">
        <v>0</v>
      </c>
      <c r="Q837" s="28" t="s">
        <v>4750</v>
      </c>
      <c r="R837" s="28" t="s">
        <v>395</v>
      </c>
      <c r="S837" s="28" t="s">
        <v>4751</v>
      </c>
      <c r="T837" s="28" t="s">
        <v>68</v>
      </c>
      <c r="U837" s="28" t="s">
        <v>4752</v>
      </c>
      <c r="V837" s="28" t="s">
        <v>4753</v>
      </c>
    </row>
    <row r="838" spans="2:22" x14ac:dyDescent="0.3">
      <c r="B838" s="22">
        <v>831</v>
      </c>
      <c r="C838" s="28" t="s">
        <v>10</v>
      </c>
      <c r="D838" s="8" t="s">
        <v>4746</v>
      </c>
      <c r="E838" s="8" t="s">
        <v>4754</v>
      </c>
      <c r="F838" s="8" t="s">
        <v>4755</v>
      </c>
      <c r="G838" s="8" t="s">
        <v>1502</v>
      </c>
      <c r="H838" s="8" t="s">
        <v>4756</v>
      </c>
      <c r="I838" s="8" t="s">
        <v>67</v>
      </c>
      <c r="J838" s="8">
        <v>2003</v>
      </c>
      <c r="K838" s="28">
        <v>0</v>
      </c>
      <c r="L838" s="57">
        <v>601</v>
      </c>
      <c r="M838" s="57">
        <v>0</v>
      </c>
      <c r="N838" s="57">
        <v>601</v>
      </c>
      <c r="O838" s="28">
        <v>0</v>
      </c>
      <c r="P838" s="28">
        <v>0</v>
      </c>
      <c r="Q838" s="8"/>
      <c r="R838" s="8"/>
      <c r="S838" s="8"/>
      <c r="T838" s="8"/>
      <c r="U838" s="8" t="s">
        <v>4757</v>
      </c>
      <c r="V838" s="8" t="s">
        <v>4758</v>
      </c>
    </row>
    <row r="839" spans="2:22" x14ac:dyDescent="0.3">
      <c r="B839" s="22">
        <v>832</v>
      </c>
      <c r="C839" s="28" t="s">
        <v>10</v>
      </c>
      <c r="D839" s="8" t="s">
        <v>4746</v>
      </c>
      <c r="E839" s="8" t="s">
        <v>4759</v>
      </c>
      <c r="F839" s="8" t="s">
        <v>50</v>
      </c>
      <c r="G839" s="8" t="s">
        <v>4760</v>
      </c>
      <c r="H839" s="8" t="s">
        <v>4761</v>
      </c>
      <c r="I839" s="8" t="s">
        <v>67</v>
      </c>
      <c r="J839" s="8">
        <v>2009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0</v>
      </c>
      <c r="Q839" s="8"/>
      <c r="R839" s="8"/>
      <c r="S839" s="8"/>
      <c r="T839" s="8"/>
      <c r="U839" s="8"/>
      <c r="V839" s="8"/>
    </row>
    <row r="840" spans="2:22" x14ac:dyDescent="0.3">
      <c r="B840" s="22">
        <v>833</v>
      </c>
      <c r="C840" s="28" t="s">
        <v>10</v>
      </c>
      <c r="D840" s="8" t="s">
        <v>4746</v>
      </c>
      <c r="E840" s="8" t="s">
        <v>4762</v>
      </c>
      <c r="F840" s="8" t="s">
        <v>55</v>
      </c>
      <c r="G840" s="8" t="s">
        <v>4763</v>
      </c>
      <c r="H840" s="8" t="s">
        <v>4764</v>
      </c>
      <c r="I840" s="8" t="s">
        <v>67</v>
      </c>
      <c r="J840" s="8">
        <v>2017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8"/>
      <c r="R840" s="8"/>
      <c r="S840" s="8"/>
      <c r="T840" s="8"/>
      <c r="U840" s="8" t="s">
        <v>4765</v>
      </c>
      <c r="V840" s="8" t="s">
        <v>4766</v>
      </c>
    </row>
    <row r="841" spans="2:22" x14ac:dyDescent="0.3">
      <c r="B841" s="22">
        <v>834</v>
      </c>
      <c r="C841" s="28" t="s">
        <v>10</v>
      </c>
      <c r="D841" s="5" t="s">
        <v>4767</v>
      </c>
      <c r="E841" s="5" t="s">
        <v>4768</v>
      </c>
      <c r="F841" s="5" t="s">
        <v>35</v>
      </c>
      <c r="G841" s="5" t="s">
        <v>4769</v>
      </c>
      <c r="H841" s="5" t="s">
        <v>4770</v>
      </c>
      <c r="I841" s="5" t="s">
        <v>51</v>
      </c>
      <c r="J841" s="5">
        <v>2002</v>
      </c>
      <c r="K841" s="19">
        <v>0</v>
      </c>
      <c r="L841" s="19">
        <v>1000</v>
      </c>
      <c r="M841" s="19">
        <v>0</v>
      </c>
      <c r="N841" s="19">
        <v>1000</v>
      </c>
      <c r="O841" s="19">
        <v>0</v>
      </c>
      <c r="P841" s="19">
        <v>0</v>
      </c>
      <c r="Q841" s="5" t="s">
        <v>4771</v>
      </c>
      <c r="R841" s="5" t="s">
        <v>42</v>
      </c>
      <c r="S841" s="5" t="s">
        <v>4772</v>
      </c>
      <c r="T841" s="5" t="s">
        <v>81</v>
      </c>
      <c r="U841" s="5" t="s">
        <v>4773</v>
      </c>
      <c r="V841" s="5" t="s">
        <v>4774</v>
      </c>
    </row>
    <row r="842" spans="2:22" x14ac:dyDescent="0.3">
      <c r="B842" s="22">
        <v>835</v>
      </c>
      <c r="C842" s="28" t="s">
        <v>10</v>
      </c>
      <c r="D842" s="8" t="s">
        <v>4767</v>
      </c>
      <c r="E842" s="8" t="s">
        <v>4775</v>
      </c>
      <c r="F842" s="8" t="s">
        <v>55</v>
      </c>
      <c r="G842" s="8" t="s">
        <v>4776</v>
      </c>
      <c r="H842" s="8" t="s">
        <v>4767</v>
      </c>
      <c r="I842" s="8" t="s">
        <v>51</v>
      </c>
      <c r="J842" s="8">
        <v>1971</v>
      </c>
      <c r="K842" s="28">
        <v>0</v>
      </c>
      <c r="L842" s="28">
        <v>500</v>
      </c>
      <c r="M842" s="28">
        <v>0</v>
      </c>
      <c r="N842" s="28">
        <v>500</v>
      </c>
      <c r="O842" s="28">
        <v>30000</v>
      </c>
      <c r="P842" s="28">
        <v>0</v>
      </c>
      <c r="Q842" s="8" t="s">
        <v>4777</v>
      </c>
      <c r="R842" s="8" t="s">
        <v>173</v>
      </c>
      <c r="S842" s="8" t="s">
        <v>81</v>
      </c>
      <c r="T842" s="8" t="s">
        <v>68</v>
      </c>
      <c r="U842" s="5" t="s">
        <v>4778</v>
      </c>
      <c r="V842" s="5" t="s">
        <v>4779</v>
      </c>
    </row>
    <row r="843" spans="2:22" x14ac:dyDescent="0.3">
      <c r="B843" s="22">
        <v>836</v>
      </c>
      <c r="C843" s="28" t="s">
        <v>10</v>
      </c>
      <c r="D843" s="242" t="s">
        <v>4780</v>
      </c>
      <c r="E843" s="5" t="s">
        <v>4781</v>
      </c>
      <c r="F843" s="5" t="s">
        <v>4782</v>
      </c>
      <c r="G843" s="5" t="s">
        <v>4783</v>
      </c>
      <c r="H843" s="5" t="s">
        <v>4784</v>
      </c>
      <c r="I843" s="7" t="s">
        <v>4785</v>
      </c>
      <c r="J843" s="5">
        <v>2019</v>
      </c>
      <c r="K843" s="19">
        <v>0</v>
      </c>
      <c r="L843" s="19">
        <v>1600</v>
      </c>
      <c r="M843" s="19">
        <v>0</v>
      </c>
      <c r="N843" s="19">
        <v>1600</v>
      </c>
      <c r="O843" s="19" t="s">
        <v>4786</v>
      </c>
      <c r="P843" s="19" t="s">
        <v>4786</v>
      </c>
      <c r="Q843" s="5" t="s">
        <v>4787</v>
      </c>
      <c r="R843" s="5" t="s">
        <v>42</v>
      </c>
      <c r="S843" s="5" t="s">
        <v>4788</v>
      </c>
      <c r="T843" s="5" t="s">
        <v>4789</v>
      </c>
      <c r="U843" s="5" t="s">
        <v>4790</v>
      </c>
      <c r="V843" s="5" t="s">
        <v>4791</v>
      </c>
    </row>
    <row r="844" spans="2:22" x14ac:dyDescent="0.3">
      <c r="B844" s="22">
        <v>837</v>
      </c>
      <c r="C844" s="28" t="s">
        <v>10</v>
      </c>
      <c r="D844" s="242" t="s">
        <v>4780</v>
      </c>
      <c r="E844" s="5" t="s">
        <v>4792</v>
      </c>
      <c r="F844" s="243" t="s">
        <v>429</v>
      </c>
      <c r="G844" s="5" t="s">
        <v>2557</v>
      </c>
      <c r="H844" s="5" t="s">
        <v>4793</v>
      </c>
      <c r="I844" s="7" t="s">
        <v>4794</v>
      </c>
      <c r="J844" s="5">
        <v>1997</v>
      </c>
      <c r="K844" s="19">
        <v>0</v>
      </c>
      <c r="L844" s="19">
        <v>60</v>
      </c>
      <c r="M844" s="19">
        <v>0</v>
      </c>
      <c r="N844" s="19">
        <v>60</v>
      </c>
      <c r="O844" s="19" t="s">
        <v>846</v>
      </c>
      <c r="P844" s="19" t="s">
        <v>846</v>
      </c>
      <c r="Q844" s="5" t="s">
        <v>4787</v>
      </c>
      <c r="R844" s="5" t="s">
        <v>42</v>
      </c>
      <c r="S844" s="5" t="s">
        <v>4788</v>
      </c>
      <c r="T844" s="5" t="s">
        <v>4789</v>
      </c>
      <c r="U844" s="8" t="s">
        <v>4795</v>
      </c>
      <c r="V844" s="8" t="s">
        <v>4796</v>
      </c>
    </row>
    <row r="845" spans="2:22" x14ac:dyDescent="0.3">
      <c r="B845" s="22">
        <v>838</v>
      </c>
      <c r="C845" s="28" t="s">
        <v>10</v>
      </c>
      <c r="D845" s="8" t="s">
        <v>4797</v>
      </c>
      <c r="E845" s="8" t="s">
        <v>4798</v>
      </c>
      <c r="F845" s="8" t="s">
        <v>390</v>
      </c>
      <c r="G845" s="8" t="s">
        <v>4799</v>
      </c>
      <c r="H845" s="8" t="s">
        <v>4800</v>
      </c>
      <c r="I845" s="8" t="s">
        <v>67</v>
      </c>
      <c r="J845" s="8">
        <v>2007</v>
      </c>
      <c r="K845" s="28">
        <v>0</v>
      </c>
      <c r="L845" s="28">
        <v>1100</v>
      </c>
      <c r="M845" s="28">
        <v>0</v>
      </c>
      <c r="N845" s="28">
        <v>1100</v>
      </c>
      <c r="O845" s="28" t="s">
        <v>4801</v>
      </c>
      <c r="P845" s="28">
        <v>0</v>
      </c>
      <c r="Q845" s="8" t="s">
        <v>4802</v>
      </c>
      <c r="R845" s="8" t="s">
        <v>395</v>
      </c>
      <c r="S845" s="8" t="s">
        <v>4803</v>
      </c>
      <c r="T845" s="8" t="s">
        <v>68</v>
      </c>
      <c r="U845" s="8" t="s">
        <v>4804</v>
      </c>
      <c r="V845" s="8" t="s">
        <v>4805</v>
      </c>
    </row>
    <row r="846" spans="2:22" x14ac:dyDescent="0.3">
      <c r="B846" s="22">
        <v>839</v>
      </c>
      <c r="C846" s="28" t="s">
        <v>10</v>
      </c>
      <c r="D846" s="8" t="s">
        <v>4797</v>
      </c>
      <c r="E846" s="8" t="s">
        <v>4806</v>
      </c>
      <c r="F846" s="8" t="s">
        <v>50</v>
      </c>
      <c r="G846" s="8" t="s">
        <v>4807</v>
      </c>
      <c r="H846" s="8" t="s">
        <v>4808</v>
      </c>
      <c r="I846" s="8" t="s">
        <v>51</v>
      </c>
      <c r="J846" s="8">
        <v>1978</v>
      </c>
      <c r="K846" s="28">
        <v>2</v>
      </c>
      <c r="L846" s="28">
        <v>404</v>
      </c>
      <c r="M846" s="28">
        <v>0</v>
      </c>
      <c r="N846" s="28">
        <v>406</v>
      </c>
      <c r="O846" s="28">
        <v>0</v>
      </c>
      <c r="P846" s="28">
        <v>0</v>
      </c>
      <c r="Q846" s="8"/>
      <c r="R846" s="8"/>
      <c r="S846" s="8"/>
      <c r="T846" s="8" t="s">
        <v>1418</v>
      </c>
      <c r="U846" s="8" t="s">
        <v>4809</v>
      </c>
      <c r="V846" s="8" t="s">
        <v>4810</v>
      </c>
    </row>
    <row r="847" spans="2:22" x14ac:dyDescent="0.3">
      <c r="B847" s="22">
        <v>840</v>
      </c>
      <c r="C847" s="28" t="s">
        <v>10</v>
      </c>
      <c r="D847" s="8" t="s">
        <v>4811</v>
      </c>
      <c r="E847" s="8" t="s">
        <v>4812</v>
      </c>
      <c r="F847" s="8" t="s">
        <v>390</v>
      </c>
      <c r="G847" s="8" t="s">
        <v>4813</v>
      </c>
      <c r="H847" s="8" t="s">
        <v>4814</v>
      </c>
      <c r="I847" s="8" t="s">
        <v>67</v>
      </c>
      <c r="J847" s="8">
        <v>2007</v>
      </c>
      <c r="K847" s="28">
        <v>0</v>
      </c>
      <c r="L847" s="28">
        <v>590</v>
      </c>
      <c r="M847" s="28">
        <v>0</v>
      </c>
      <c r="N847" s="28">
        <v>590</v>
      </c>
      <c r="O847" s="28">
        <v>0</v>
      </c>
      <c r="P847" s="28">
        <v>0</v>
      </c>
      <c r="Q847" s="8" t="s">
        <v>81</v>
      </c>
      <c r="R847" s="8" t="s">
        <v>81</v>
      </c>
      <c r="S847" s="8" t="s">
        <v>81</v>
      </c>
      <c r="T847" s="8" t="s">
        <v>81</v>
      </c>
      <c r="U847" s="8" t="s">
        <v>4815</v>
      </c>
      <c r="V847" s="8" t="s">
        <v>4816</v>
      </c>
    </row>
    <row r="848" spans="2:22" x14ac:dyDescent="0.3">
      <c r="B848" s="22">
        <v>841</v>
      </c>
      <c r="C848" s="28" t="s">
        <v>10</v>
      </c>
      <c r="D848" s="8" t="s">
        <v>4811</v>
      </c>
      <c r="E848" s="8" t="s">
        <v>4817</v>
      </c>
      <c r="F848" s="8" t="s">
        <v>55</v>
      </c>
      <c r="G848" s="8" t="s">
        <v>4818</v>
      </c>
      <c r="H848" s="8" t="s">
        <v>4819</v>
      </c>
      <c r="I848" s="8" t="s">
        <v>67</v>
      </c>
      <c r="J848" s="8">
        <v>1988</v>
      </c>
      <c r="K848" s="28">
        <v>0</v>
      </c>
      <c r="L848" s="28">
        <v>529.5</v>
      </c>
      <c r="M848" s="28">
        <v>0</v>
      </c>
      <c r="N848" s="28">
        <v>529.5</v>
      </c>
      <c r="O848" s="28">
        <v>0</v>
      </c>
      <c r="P848" s="28">
        <v>0</v>
      </c>
      <c r="Q848" s="8" t="s">
        <v>4820</v>
      </c>
      <c r="R848" s="8" t="s">
        <v>877</v>
      </c>
      <c r="S848" s="8" t="s">
        <v>4296</v>
      </c>
      <c r="T848" s="8" t="s">
        <v>81</v>
      </c>
      <c r="U848" s="8" t="s">
        <v>4821</v>
      </c>
      <c r="V848" s="8" t="s">
        <v>4822</v>
      </c>
    </row>
    <row r="849" spans="2:22" x14ac:dyDescent="0.3">
      <c r="B849" s="22">
        <v>842</v>
      </c>
      <c r="C849" s="28" t="s">
        <v>10</v>
      </c>
      <c r="D849" s="8" t="s">
        <v>4823</v>
      </c>
      <c r="E849" s="8" t="s">
        <v>4824</v>
      </c>
      <c r="F849" s="8" t="s">
        <v>390</v>
      </c>
      <c r="G849" s="8" t="s">
        <v>4825</v>
      </c>
      <c r="H849" s="8" t="s">
        <v>869</v>
      </c>
      <c r="I849" s="8" t="s">
        <v>869</v>
      </c>
      <c r="J849" s="8">
        <v>2003</v>
      </c>
      <c r="K849" s="28">
        <v>0</v>
      </c>
      <c r="L849" s="28">
        <v>450</v>
      </c>
      <c r="M849" s="28">
        <v>0</v>
      </c>
      <c r="N849" s="28">
        <v>450</v>
      </c>
      <c r="O849" s="28">
        <v>35600</v>
      </c>
      <c r="P849" s="28">
        <v>0</v>
      </c>
      <c r="Q849" s="8" t="s">
        <v>4826</v>
      </c>
      <c r="R849" s="8" t="s">
        <v>42</v>
      </c>
      <c r="S849" s="8" t="s">
        <v>4827</v>
      </c>
      <c r="T849" s="8"/>
      <c r="U849" s="8" t="s">
        <v>4828</v>
      </c>
      <c r="V849" s="8" t="s">
        <v>4829</v>
      </c>
    </row>
    <row r="850" spans="2:22" x14ac:dyDescent="0.3">
      <c r="B850" s="22">
        <v>843</v>
      </c>
      <c r="C850" s="28" t="s">
        <v>10</v>
      </c>
      <c r="D850" s="8" t="s">
        <v>4823</v>
      </c>
      <c r="E850" s="8" t="s">
        <v>4830</v>
      </c>
      <c r="F850" s="8" t="s">
        <v>390</v>
      </c>
      <c r="G850" s="8" t="s">
        <v>4831</v>
      </c>
      <c r="H850" s="8" t="s">
        <v>4832</v>
      </c>
      <c r="I850" s="8" t="s">
        <v>67</v>
      </c>
      <c r="J850" s="8">
        <v>2004</v>
      </c>
      <c r="K850" s="28">
        <v>0</v>
      </c>
      <c r="L850" s="28">
        <v>860</v>
      </c>
      <c r="M850" s="28">
        <v>0</v>
      </c>
      <c r="N850" s="28">
        <v>860</v>
      </c>
      <c r="O850" s="28">
        <v>161870</v>
      </c>
      <c r="P850" s="28">
        <v>0</v>
      </c>
      <c r="Q850" s="8" t="s">
        <v>4826</v>
      </c>
      <c r="R850" s="8" t="s">
        <v>42</v>
      </c>
      <c r="S850" s="8" t="s">
        <v>4827</v>
      </c>
      <c r="T850" s="8"/>
      <c r="U850" s="8" t="s">
        <v>4828</v>
      </c>
      <c r="V850" s="8" t="s">
        <v>4829</v>
      </c>
    </row>
    <row r="851" spans="2:22" x14ac:dyDescent="0.3">
      <c r="B851" s="22">
        <v>844</v>
      </c>
      <c r="C851" s="28" t="s">
        <v>10</v>
      </c>
      <c r="D851" s="8" t="s">
        <v>4823</v>
      </c>
      <c r="E851" s="8" t="s">
        <v>4833</v>
      </c>
      <c r="F851" s="8" t="s">
        <v>55</v>
      </c>
      <c r="G851" s="8" t="s">
        <v>4834</v>
      </c>
      <c r="H851" s="8" t="s">
        <v>4832</v>
      </c>
      <c r="I851" s="8" t="s">
        <v>57</v>
      </c>
      <c r="J851" s="8">
        <v>1965</v>
      </c>
      <c r="K851" s="28">
        <v>0</v>
      </c>
      <c r="L851" s="28">
        <v>1100</v>
      </c>
      <c r="M851" s="28">
        <v>0</v>
      </c>
      <c r="N851" s="28">
        <v>1100</v>
      </c>
      <c r="O851" s="28">
        <v>220658</v>
      </c>
      <c r="P851" s="28">
        <v>0</v>
      </c>
      <c r="Q851" s="8" t="s">
        <v>4826</v>
      </c>
      <c r="R851" s="8" t="s">
        <v>42</v>
      </c>
      <c r="S851" s="8" t="s">
        <v>4827</v>
      </c>
      <c r="T851" s="8" t="s">
        <v>4835</v>
      </c>
      <c r="U851" s="8" t="s">
        <v>4828</v>
      </c>
      <c r="V851" s="8" t="s">
        <v>4829</v>
      </c>
    </row>
    <row r="852" spans="2:22" x14ac:dyDescent="0.3">
      <c r="B852" s="22">
        <v>845</v>
      </c>
      <c r="C852" s="28" t="s">
        <v>10</v>
      </c>
      <c r="D852" s="8" t="s">
        <v>4823</v>
      </c>
      <c r="E852" s="8" t="s">
        <v>4836</v>
      </c>
      <c r="F852" s="8" t="s">
        <v>390</v>
      </c>
      <c r="G852" s="8" t="s">
        <v>4834</v>
      </c>
      <c r="H852" s="8" t="s">
        <v>4832</v>
      </c>
      <c r="I852" s="8" t="s">
        <v>67</v>
      </c>
      <c r="J852" s="8">
        <v>2010</v>
      </c>
      <c r="K852" s="28">
        <v>0</v>
      </c>
      <c r="L852" s="28">
        <v>455</v>
      </c>
      <c r="M852" s="28">
        <v>0</v>
      </c>
      <c r="N852" s="28">
        <v>455</v>
      </c>
      <c r="O852" s="28">
        <v>135092</v>
      </c>
      <c r="P852" s="28">
        <v>0</v>
      </c>
      <c r="Q852" s="8" t="s">
        <v>4826</v>
      </c>
      <c r="R852" s="8" t="s">
        <v>42</v>
      </c>
      <c r="S852" s="8" t="s">
        <v>4827</v>
      </c>
      <c r="T852" s="8"/>
      <c r="U852" s="8" t="s">
        <v>4828</v>
      </c>
      <c r="V852" s="8" t="s">
        <v>4829</v>
      </c>
    </row>
    <row r="853" spans="2:22" x14ac:dyDescent="0.3">
      <c r="B853" s="22">
        <v>846</v>
      </c>
      <c r="C853" s="28" t="s">
        <v>10</v>
      </c>
      <c r="D853" s="8" t="s">
        <v>4837</v>
      </c>
      <c r="E853" s="8" t="s">
        <v>4838</v>
      </c>
      <c r="F853" s="8" t="s">
        <v>50</v>
      </c>
      <c r="G853" s="8" t="s">
        <v>4839</v>
      </c>
      <c r="H853" s="8" t="s">
        <v>4840</v>
      </c>
      <c r="I853" s="8" t="s">
        <v>422</v>
      </c>
      <c r="J853" s="8">
        <v>2004</v>
      </c>
      <c r="K853" s="28">
        <v>0</v>
      </c>
      <c r="L853" s="28">
        <v>60</v>
      </c>
      <c r="M853" s="28">
        <v>0</v>
      </c>
      <c r="N853" s="28">
        <v>60</v>
      </c>
      <c r="O853" s="28">
        <v>0</v>
      </c>
      <c r="P853" s="28">
        <v>0</v>
      </c>
      <c r="Q853" s="8" t="s">
        <v>4841</v>
      </c>
      <c r="R853" s="8" t="s">
        <v>4842</v>
      </c>
      <c r="S853" s="8" t="s">
        <v>4843</v>
      </c>
      <c r="T853" s="8" t="s">
        <v>43</v>
      </c>
      <c r="U853" s="8" t="s">
        <v>4844</v>
      </c>
      <c r="V853" s="8" t="s">
        <v>4845</v>
      </c>
    </row>
    <row r="854" spans="2:22" x14ac:dyDescent="0.3">
      <c r="B854" s="22">
        <v>847</v>
      </c>
      <c r="C854" s="28" t="s">
        <v>10</v>
      </c>
      <c r="D854" s="8" t="s">
        <v>4837</v>
      </c>
      <c r="E854" s="8" t="s">
        <v>4846</v>
      </c>
      <c r="F854" s="8" t="s">
        <v>4847</v>
      </c>
      <c r="G854" s="8" t="s">
        <v>150</v>
      </c>
      <c r="H854" s="8" t="s">
        <v>4848</v>
      </c>
      <c r="I854" s="8" t="s">
        <v>422</v>
      </c>
      <c r="J854" s="8">
        <v>1992</v>
      </c>
      <c r="K854" s="28">
        <v>0</v>
      </c>
      <c r="L854" s="28">
        <v>334</v>
      </c>
      <c r="M854" s="28">
        <v>0</v>
      </c>
      <c r="N854" s="28">
        <v>334</v>
      </c>
      <c r="O854" s="28">
        <v>0</v>
      </c>
      <c r="P854" s="28">
        <v>0</v>
      </c>
      <c r="Q854" s="8" t="s">
        <v>4849</v>
      </c>
      <c r="R854" s="8" t="s">
        <v>173</v>
      </c>
      <c r="S854" s="8" t="s">
        <v>4296</v>
      </c>
      <c r="T854" s="8" t="s">
        <v>43</v>
      </c>
      <c r="U854" s="8" t="s">
        <v>4850</v>
      </c>
      <c r="V854" s="8" t="s">
        <v>4851</v>
      </c>
    </row>
    <row r="855" spans="2:22" x14ac:dyDescent="0.3">
      <c r="B855" s="22">
        <v>848</v>
      </c>
      <c r="C855" s="28" t="s">
        <v>10</v>
      </c>
      <c r="D855" s="8" t="s">
        <v>4852</v>
      </c>
      <c r="E855" s="8" t="s">
        <v>4853</v>
      </c>
      <c r="F855" s="8" t="s">
        <v>50</v>
      </c>
      <c r="G855" s="8" t="s">
        <v>178</v>
      </c>
      <c r="H855" s="8" t="s">
        <v>4854</v>
      </c>
      <c r="I855" s="8" t="s">
        <v>422</v>
      </c>
      <c r="J855" s="8">
        <v>2000</v>
      </c>
      <c r="K855" s="28">
        <v>0</v>
      </c>
      <c r="L855" s="28">
        <v>338</v>
      </c>
      <c r="M855" s="28">
        <v>0</v>
      </c>
      <c r="N855" s="28">
        <f>SUM(K855:M855)</f>
        <v>338</v>
      </c>
      <c r="O855" s="28">
        <v>0</v>
      </c>
      <c r="P855" s="28">
        <v>0</v>
      </c>
      <c r="Q855" s="8" t="s">
        <v>4855</v>
      </c>
      <c r="R855" s="8" t="s">
        <v>173</v>
      </c>
      <c r="S855" s="8" t="s">
        <v>4856</v>
      </c>
      <c r="T855" s="8" t="s">
        <v>68</v>
      </c>
      <c r="U855" s="8" t="s">
        <v>4857</v>
      </c>
      <c r="V855" s="8" t="s">
        <v>4858</v>
      </c>
    </row>
    <row r="856" spans="2:22" x14ac:dyDescent="0.3">
      <c r="B856" s="22">
        <v>849</v>
      </c>
      <c r="C856" s="28" t="s">
        <v>10</v>
      </c>
      <c r="D856" s="8" t="s">
        <v>4852</v>
      </c>
      <c r="E856" s="8" t="s">
        <v>4859</v>
      </c>
      <c r="F856" s="8" t="s">
        <v>106</v>
      </c>
      <c r="G856" s="8" t="s">
        <v>167</v>
      </c>
      <c r="H856" s="8" t="s">
        <v>4860</v>
      </c>
      <c r="I856" s="8" t="s">
        <v>422</v>
      </c>
      <c r="J856" s="8">
        <v>1979</v>
      </c>
      <c r="K856" s="28">
        <v>0</v>
      </c>
      <c r="L856" s="28">
        <v>604</v>
      </c>
      <c r="M856" s="28">
        <v>0</v>
      </c>
      <c r="N856" s="28">
        <f>SUM(K856:M856)</f>
        <v>604</v>
      </c>
      <c r="O856" s="244">
        <v>626211</v>
      </c>
      <c r="P856" s="245">
        <v>0</v>
      </c>
      <c r="Q856" s="8" t="s">
        <v>4861</v>
      </c>
      <c r="R856" s="8" t="s">
        <v>173</v>
      </c>
      <c r="S856" s="8" t="s">
        <v>4856</v>
      </c>
      <c r="T856" s="8" t="s">
        <v>68</v>
      </c>
      <c r="U856" s="8" t="s">
        <v>4857</v>
      </c>
      <c r="V856" s="8" t="s">
        <v>4858</v>
      </c>
    </row>
    <row r="857" spans="2:22" x14ac:dyDescent="0.3">
      <c r="B857" s="22">
        <v>850</v>
      </c>
      <c r="C857" s="28" t="s">
        <v>10</v>
      </c>
      <c r="D857" s="8" t="s">
        <v>4862</v>
      </c>
      <c r="E857" s="8" t="s">
        <v>4863</v>
      </c>
      <c r="F857" s="8" t="s">
        <v>390</v>
      </c>
      <c r="G857" s="8" t="s">
        <v>4864</v>
      </c>
      <c r="H857" s="8" t="s">
        <v>4865</v>
      </c>
      <c r="I857" s="8" t="s">
        <v>51</v>
      </c>
      <c r="J857" s="8">
        <v>2022</v>
      </c>
      <c r="K857" s="28">
        <v>0</v>
      </c>
      <c r="L857" s="28">
        <v>290</v>
      </c>
      <c r="M857" s="28">
        <v>0</v>
      </c>
      <c r="N857" s="28">
        <v>290</v>
      </c>
      <c r="O857" s="28">
        <v>0</v>
      </c>
      <c r="P857" s="28">
        <v>0</v>
      </c>
      <c r="Q857" s="8" t="s">
        <v>4866</v>
      </c>
      <c r="R857" s="8" t="s">
        <v>395</v>
      </c>
      <c r="S857" s="8" t="s">
        <v>4867</v>
      </c>
      <c r="T857" s="8"/>
      <c r="U857" s="8" t="s">
        <v>4868</v>
      </c>
      <c r="V857" s="8" t="s">
        <v>4869</v>
      </c>
    </row>
    <row r="858" spans="2:22" x14ac:dyDescent="0.3">
      <c r="B858" s="22">
        <v>851</v>
      </c>
      <c r="C858" s="28" t="s">
        <v>10</v>
      </c>
      <c r="D858" s="8" t="s">
        <v>4862</v>
      </c>
      <c r="E858" s="8" t="s">
        <v>4870</v>
      </c>
      <c r="F858" s="8" t="s">
        <v>390</v>
      </c>
      <c r="G858" s="8" t="s">
        <v>4871</v>
      </c>
      <c r="H858" s="8" t="s">
        <v>4865</v>
      </c>
      <c r="I858" s="8" t="s">
        <v>67</v>
      </c>
      <c r="J858" s="8">
        <v>2000</v>
      </c>
      <c r="K858" s="28">
        <v>0</v>
      </c>
      <c r="L858" s="28">
        <v>1140</v>
      </c>
      <c r="M858" s="28">
        <v>0</v>
      </c>
      <c r="N858" s="28">
        <v>1140</v>
      </c>
      <c r="O858" s="28">
        <v>4228</v>
      </c>
      <c r="P858" s="28">
        <v>0</v>
      </c>
      <c r="Q858" s="8" t="s">
        <v>4866</v>
      </c>
      <c r="R858" s="8" t="s">
        <v>395</v>
      </c>
      <c r="S858" s="8" t="s">
        <v>4867</v>
      </c>
      <c r="T858" s="8"/>
      <c r="U858" s="8" t="s">
        <v>4872</v>
      </c>
      <c r="V858" s="8" t="s">
        <v>4873</v>
      </c>
    </row>
    <row r="859" spans="2:22" x14ac:dyDescent="0.3">
      <c r="B859" s="22">
        <v>852</v>
      </c>
      <c r="C859" s="28" t="s">
        <v>10</v>
      </c>
      <c r="D859" s="8" t="s">
        <v>4862</v>
      </c>
      <c r="E859" s="8" t="s">
        <v>4874</v>
      </c>
      <c r="F859" s="8" t="s">
        <v>390</v>
      </c>
      <c r="G859" s="8" t="s">
        <v>4875</v>
      </c>
      <c r="H859" s="8" t="s">
        <v>4865</v>
      </c>
      <c r="I859" s="8" t="s">
        <v>67</v>
      </c>
      <c r="J859" s="8">
        <v>2019</v>
      </c>
      <c r="K859" s="28">
        <v>0</v>
      </c>
      <c r="L859" s="28">
        <v>500</v>
      </c>
      <c r="M859" s="28">
        <v>0</v>
      </c>
      <c r="N859" s="28">
        <v>500</v>
      </c>
      <c r="O859" s="28">
        <v>2000</v>
      </c>
      <c r="P859" s="28">
        <v>20</v>
      </c>
      <c r="Q859" s="8" t="s">
        <v>4866</v>
      </c>
      <c r="R859" s="8" t="s">
        <v>395</v>
      </c>
      <c r="S859" s="8" t="s">
        <v>4867</v>
      </c>
      <c r="T859" s="8"/>
      <c r="U859" s="8" t="s">
        <v>4876</v>
      </c>
      <c r="V859" s="8" t="s">
        <v>4877</v>
      </c>
    </row>
    <row r="860" spans="2:22" x14ac:dyDescent="0.3">
      <c r="B860" s="22">
        <v>853</v>
      </c>
      <c r="C860" s="28" t="s">
        <v>10</v>
      </c>
      <c r="D860" s="8" t="s">
        <v>4878</v>
      </c>
      <c r="E860" s="8" t="s">
        <v>4879</v>
      </c>
      <c r="F860" s="8" t="s">
        <v>55</v>
      </c>
      <c r="G860" s="8" t="s">
        <v>4880</v>
      </c>
      <c r="H860" s="8" t="s">
        <v>4881</v>
      </c>
      <c r="I860" s="8" t="s">
        <v>67</v>
      </c>
      <c r="J860" s="8">
        <v>2000</v>
      </c>
      <c r="K860" s="28">
        <v>30</v>
      </c>
      <c r="L860" s="28">
        <v>750</v>
      </c>
      <c r="M860" s="28">
        <v>0</v>
      </c>
      <c r="N860" s="28">
        <v>780</v>
      </c>
      <c r="O860" s="28" t="s">
        <v>4882</v>
      </c>
      <c r="P860" s="28">
        <v>0</v>
      </c>
      <c r="Q860" s="8" t="s">
        <v>4883</v>
      </c>
      <c r="R860" s="8" t="s">
        <v>173</v>
      </c>
      <c r="S860" s="8" t="s">
        <v>4884</v>
      </c>
      <c r="T860" s="8" t="s">
        <v>43</v>
      </c>
      <c r="U860" s="8" t="s">
        <v>4885</v>
      </c>
      <c r="V860" s="8" t="s">
        <v>4886</v>
      </c>
    </row>
    <row r="861" spans="2:22" x14ac:dyDescent="0.3">
      <c r="B861" s="22">
        <v>854</v>
      </c>
      <c r="C861" s="28" t="s">
        <v>10</v>
      </c>
      <c r="D861" s="8" t="s">
        <v>4878</v>
      </c>
      <c r="E861" s="8" t="s">
        <v>4887</v>
      </c>
      <c r="F861" s="8" t="s">
        <v>50</v>
      </c>
      <c r="G861" s="8" t="s">
        <v>422</v>
      </c>
      <c r="H861" s="8" t="s">
        <v>4881</v>
      </c>
      <c r="I861" s="8" t="s">
        <v>67</v>
      </c>
      <c r="J861" s="8">
        <v>1982</v>
      </c>
      <c r="K861" s="28">
        <v>0</v>
      </c>
      <c r="L861" s="28">
        <v>400</v>
      </c>
      <c r="M861" s="28">
        <v>0</v>
      </c>
      <c r="N861" s="28">
        <v>400</v>
      </c>
      <c r="O861" s="19" t="s">
        <v>4888</v>
      </c>
      <c r="P861" s="19" t="s">
        <v>4888</v>
      </c>
      <c r="Q861" s="8" t="s">
        <v>4889</v>
      </c>
      <c r="R861" s="8" t="s">
        <v>173</v>
      </c>
      <c r="S861" s="8" t="s">
        <v>4884</v>
      </c>
      <c r="T861" s="5" t="s">
        <v>1608</v>
      </c>
      <c r="U861" s="8" t="s">
        <v>4885</v>
      </c>
      <c r="V861" s="8" t="s">
        <v>4886</v>
      </c>
    </row>
    <row r="862" spans="2:22" x14ac:dyDescent="0.3">
      <c r="B862" s="22">
        <v>855</v>
      </c>
      <c r="C862" s="28" t="s">
        <v>10</v>
      </c>
      <c r="D862" s="5" t="s">
        <v>4878</v>
      </c>
      <c r="E862" s="5" t="s">
        <v>4890</v>
      </c>
      <c r="F862" s="5" t="s">
        <v>390</v>
      </c>
      <c r="G862" s="5" t="s">
        <v>4891</v>
      </c>
      <c r="H862" s="5" t="s">
        <v>4892</v>
      </c>
      <c r="I862" s="5" t="s">
        <v>51</v>
      </c>
      <c r="J862" s="5" t="s">
        <v>4893</v>
      </c>
      <c r="K862" s="19">
        <v>0</v>
      </c>
      <c r="L862" s="19">
        <v>700</v>
      </c>
      <c r="M862" s="19">
        <v>0</v>
      </c>
      <c r="N862" s="19">
        <f>SUM(K862:M862)</f>
        <v>700</v>
      </c>
      <c r="O862" s="19" t="s">
        <v>4888</v>
      </c>
      <c r="P862" s="19" t="s">
        <v>4888</v>
      </c>
      <c r="Q862" s="5"/>
      <c r="R862" s="5" t="s">
        <v>4894</v>
      </c>
      <c r="S862" s="5" t="s">
        <v>4895</v>
      </c>
      <c r="T862" s="5" t="s">
        <v>1608</v>
      </c>
      <c r="U862" s="5" t="s">
        <v>4896</v>
      </c>
      <c r="V862" s="5" t="s">
        <v>4897</v>
      </c>
    </row>
    <row r="863" spans="2:22" x14ac:dyDescent="0.3">
      <c r="B863" s="22">
        <v>856</v>
      </c>
      <c r="C863" s="28" t="s">
        <v>10</v>
      </c>
      <c r="D863" s="8" t="s">
        <v>4898</v>
      </c>
      <c r="E863" s="8" t="s">
        <v>4899</v>
      </c>
      <c r="F863" s="8" t="s">
        <v>1243</v>
      </c>
      <c r="G863" s="8" t="s">
        <v>220</v>
      </c>
      <c r="H863" s="8" t="s">
        <v>4900</v>
      </c>
      <c r="I863" s="8" t="s">
        <v>51</v>
      </c>
      <c r="J863" s="8">
        <v>1983</v>
      </c>
      <c r="K863" s="28">
        <v>0</v>
      </c>
      <c r="L863" s="28">
        <v>500</v>
      </c>
      <c r="M863" s="28">
        <v>0</v>
      </c>
      <c r="N863" s="28">
        <v>500</v>
      </c>
      <c r="O863" s="28">
        <v>160000</v>
      </c>
      <c r="P863" s="28">
        <v>0</v>
      </c>
      <c r="Q863" s="8" t="s">
        <v>4901</v>
      </c>
      <c r="R863" s="8" t="s">
        <v>2414</v>
      </c>
      <c r="S863" s="8" t="s">
        <v>4902</v>
      </c>
      <c r="T863" s="8" t="s">
        <v>43</v>
      </c>
      <c r="U863" s="8"/>
      <c r="V863" s="8"/>
    </row>
    <row r="864" spans="2:22" x14ac:dyDescent="0.3">
      <c r="B864" s="22">
        <v>857</v>
      </c>
      <c r="C864" s="28" t="s">
        <v>10</v>
      </c>
      <c r="D864" s="8" t="s">
        <v>4898</v>
      </c>
      <c r="E864" s="8" t="s">
        <v>4903</v>
      </c>
      <c r="F864" s="8" t="s">
        <v>55</v>
      </c>
      <c r="G864" s="8" t="s">
        <v>440</v>
      </c>
      <c r="H864" s="8" t="s">
        <v>4904</v>
      </c>
      <c r="I864" s="8" t="s">
        <v>51</v>
      </c>
      <c r="J864" s="8">
        <v>1996</v>
      </c>
      <c r="K864" s="28">
        <v>0</v>
      </c>
      <c r="L864" s="28">
        <v>550</v>
      </c>
      <c r="M864" s="28">
        <v>0</v>
      </c>
      <c r="N864" s="28">
        <v>550</v>
      </c>
      <c r="O864" s="28">
        <v>40000</v>
      </c>
      <c r="P864" s="28">
        <v>0</v>
      </c>
      <c r="Q864" s="8" t="s">
        <v>4901</v>
      </c>
      <c r="R864" s="8" t="s">
        <v>2414</v>
      </c>
      <c r="S864" s="8" t="s">
        <v>4902</v>
      </c>
      <c r="T864" s="8" t="s">
        <v>43</v>
      </c>
      <c r="U864" s="8"/>
      <c r="V864" s="8"/>
    </row>
    <row r="865" spans="2:23" x14ac:dyDescent="0.3">
      <c r="B865" s="22">
        <v>858</v>
      </c>
      <c r="C865" s="28" t="s">
        <v>10</v>
      </c>
      <c r="D865" s="8" t="s">
        <v>4898</v>
      </c>
      <c r="E865" s="8" t="s">
        <v>4905</v>
      </c>
      <c r="F865" s="8" t="s">
        <v>55</v>
      </c>
      <c r="G865" s="8" t="s">
        <v>220</v>
      </c>
      <c r="H865" s="8" t="s">
        <v>4900</v>
      </c>
      <c r="I865" s="8" t="s">
        <v>51</v>
      </c>
      <c r="J865" s="8">
        <v>2016</v>
      </c>
      <c r="K865" s="28">
        <v>0</v>
      </c>
      <c r="L865" s="28">
        <v>200</v>
      </c>
      <c r="M865" s="28">
        <v>0</v>
      </c>
      <c r="N865" s="28">
        <v>200</v>
      </c>
      <c r="O865" s="28">
        <v>10000</v>
      </c>
      <c r="P865" s="28">
        <v>0</v>
      </c>
      <c r="Q865" s="8" t="s">
        <v>4901</v>
      </c>
      <c r="R865" s="8" t="s">
        <v>2414</v>
      </c>
      <c r="S865" s="8" t="s">
        <v>4902</v>
      </c>
      <c r="T865" s="8" t="s">
        <v>43</v>
      </c>
      <c r="U865" s="8"/>
      <c r="V865" s="8"/>
    </row>
    <row r="866" spans="2:23" x14ac:dyDescent="0.3">
      <c r="B866" s="22">
        <v>859</v>
      </c>
      <c r="C866" s="205" t="s">
        <v>4906</v>
      </c>
      <c r="D866" s="205" t="s">
        <v>410</v>
      </c>
      <c r="E866" s="246" t="s">
        <v>4907</v>
      </c>
      <c r="F866" s="205" t="s">
        <v>55</v>
      </c>
      <c r="G866" s="205" t="s">
        <v>4908</v>
      </c>
      <c r="H866" s="36" t="s">
        <v>4909</v>
      </c>
      <c r="I866" s="205" t="s">
        <v>67</v>
      </c>
      <c r="J866" s="205" t="s">
        <v>4648</v>
      </c>
      <c r="K866" s="205">
        <v>0</v>
      </c>
      <c r="L866" s="205">
        <v>1300</v>
      </c>
      <c r="M866" s="205">
        <v>0</v>
      </c>
      <c r="N866" s="205">
        <f t="shared" ref="N866:N872" si="17">SUM(K866:M866)</f>
        <v>1300</v>
      </c>
      <c r="O866" s="205" t="s">
        <v>4910</v>
      </c>
      <c r="P866" s="205"/>
      <c r="Q866" s="205" t="s">
        <v>4911</v>
      </c>
      <c r="R866" s="36" t="s">
        <v>42</v>
      </c>
      <c r="S866" s="36" t="s">
        <v>4912</v>
      </c>
      <c r="T866" s="205"/>
      <c r="U866" s="205" t="s">
        <v>4913</v>
      </c>
      <c r="V866" s="205" t="s">
        <v>4914</v>
      </c>
    </row>
    <row r="867" spans="2:23" x14ac:dyDescent="0.3">
      <c r="B867" s="22">
        <v>860</v>
      </c>
      <c r="C867" s="205" t="s">
        <v>4906</v>
      </c>
      <c r="D867" s="205" t="s">
        <v>410</v>
      </c>
      <c r="E867" s="246" t="s">
        <v>4915</v>
      </c>
      <c r="F867" s="205" t="s">
        <v>55</v>
      </c>
      <c r="G867" s="205" t="s">
        <v>4916</v>
      </c>
      <c r="H867" s="36" t="s">
        <v>4917</v>
      </c>
      <c r="I867" s="205" t="s">
        <v>67</v>
      </c>
      <c r="J867" s="205" t="s">
        <v>4648</v>
      </c>
      <c r="K867" s="205">
        <v>0</v>
      </c>
      <c r="L867" s="205">
        <v>400</v>
      </c>
      <c r="M867" s="205">
        <v>0</v>
      </c>
      <c r="N867" s="205">
        <f t="shared" si="17"/>
        <v>400</v>
      </c>
      <c r="O867" s="205" t="s">
        <v>4918</v>
      </c>
      <c r="P867" s="205"/>
      <c r="Q867" s="205" t="s">
        <v>422</v>
      </c>
      <c r="R867" s="36" t="s">
        <v>4919</v>
      </c>
      <c r="S867" s="36"/>
      <c r="T867" s="205"/>
      <c r="U867" s="205" t="s">
        <v>4920</v>
      </c>
      <c r="V867" s="205" t="s">
        <v>4921</v>
      </c>
    </row>
    <row r="868" spans="2:23" x14ac:dyDescent="0.3">
      <c r="B868" s="22">
        <v>861</v>
      </c>
      <c r="C868" s="205" t="s">
        <v>4906</v>
      </c>
      <c r="D868" s="205" t="s">
        <v>410</v>
      </c>
      <c r="E868" s="205" t="s">
        <v>4922</v>
      </c>
      <c r="F868" s="207" t="s">
        <v>1270</v>
      </c>
      <c r="G868" s="205" t="s">
        <v>4923</v>
      </c>
      <c r="H868" s="36" t="s">
        <v>4924</v>
      </c>
      <c r="I868" s="1" t="s">
        <v>292</v>
      </c>
      <c r="J868" s="205" t="s">
        <v>4925</v>
      </c>
      <c r="K868" s="205">
        <v>0</v>
      </c>
      <c r="L868" s="205">
        <v>1061</v>
      </c>
      <c r="M868" s="205">
        <v>0</v>
      </c>
      <c r="N868" s="205">
        <f t="shared" si="17"/>
        <v>1061</v>
      </c>
      <c r="O868" s="207" t="s">
        <v>4742</v>
      </c>
      <c r="P868" s="205"/>
      <c r="Q868" s="205" t="s">
        <v>4926</v>
      </c>
      <c r="R868" s="36" t="s">
        <v>357</v>
      </c>
      <c r="S868" s="36" t="s">
        <v>4927</v>
      </c>
      <c r="T868" s="205"/>
      <c r="U868" s="205" t="s">
        <v>4928</v>
      </c>
      <c r="V868" s="205" t="s">
        <v>4929</v>
      </c>
    </row>
    <row r="869" spans="2:23" x14ac:dyDescent="0.3">
      <c r="B869" s="22">
        <v>862</v>
      </c>
      <c r="C869" s="205" t="s">
        <v>4</v>
      </c>
      <c r="D869" s="205" t="s">
        <v>4610</v>
      </c>
      <c r="E869" s="247" t="s">
        <v>4930</v>
      </c>
      <c r="F869" s="248" t="s">
        <v>55</v>
      </c>
      <c r="G869" s="247" t="s">
        <v>167</v>
      </c>
      <c r="H869" s="77" t="s">
        <v>4931</v>
      </c>
      <c r="I869" s="226" t="s">
        <v>67</v>
      </c>
      <c r="J869" s="247" t="s">
        <v>1301</v>
      </c>
      <c r="K869" s="247">
        <v>0</v>
      </c>
      <c r="L869" s="247">
        <v>2400</v>
      </c>
      <c r="M869" s="247">
        <v>0</v>
      </c>
      <c r="N869" s="247">
        <f t="shared" si="17"/>
        <v>2400</v>
      </c>
      <c r="O869" s="248" t="s">
        <v>4932</v>
      </c>
      <c r="P869" s="247"/>
      <c r="Q869" s="205" t="s">
        <v>4933</v>
      </c>
      <c r="R869" s="36" t="s">
        <v>395</v>
      </c>
      <c r="S869" s="36" t="s">
        <v>4934</v>
      </c>
      <c r="T869" s="205"/>
      <c r="U869" s="205" t="s">
        <v>4935</v>
      </c>
      <c r="V869" s="205" t="s">
        <v>4936</v>
      </c>
    </row>
    <row r="870" spans="2:23" x14ac:dyDescent="0.3">
      <c r="B870" s="22">
        <v>863</v>
      </c>
      <c r="C870" s="205" t="s">
        <v>4</v>
      </c>
      <c r="D870" s="205" t="s">
        <v>4642</v>
      </c>
      <c r="E870" s="247" t="s">
        <v>4937</v>
      </c>
      <c r="F870" s="248" t="s">
        <v>95</v>
      </c>
      <c r="G870" s="247" t="s">
        <v>4834</v>
      </c>
      <c r="H870" s="77" t="s">
        <v>4938</v>
      </c>
      <c r="I870" s="226" t="s">
        <v>67</v>
      </c>
      <c r="J870" s="247" t="s">
        <v>1467</v>
      </c>
      <c r="K870" s="247">
        <v>0</v>
      </c>
      <c r="L870" s="247">
        <v>377</v>
      </c>
      <c r="M870" s="247">
        <v>0</v>
      </c>
      <c r="N870" s="247">
        <f t="shared" si="17"/>
        <v>377</v>
      </c>
      <c r="O870" s="248" t="s">
        <v>4939</v>
      </c>
      <c r="P870" s="247"/>
      <c r="Q870" s="205" t="s">
        <v>4940</v>
      </c>
      <c r="R870" s="36" t="s">
        <v>732</v>
      </c>
      <c r="S870" s="36" t="s">
        <v>4941</v>
      </c>
      <c r="T870" s="205"/>
      <c r="U870" s="205" t="s">
        <v>4942</v>
      </c>
      <c r="V870" s="205" t="s">
        <v>4943</v>
      </c>
    </row>
    <row r="871" spans="2:23" x14ac:dyDescent="0.3">
      <c r="B871" s="22">
        <v>864</v>
      </c>
      <c r="C871" s="1" t="s">
        <v>4906</v>
      </c>
      <c r="D871" s="1" t="s">
        <v>277</v>
      </c>
      <c r="E871" s="1" t="s">
        <v>4944</v>
      </c>
      <c r="F871" s="1" t="s">
        <v>259</v>
      </c>
      <c r="G871" s="1" t="s">
        <v>3419</v>
      </c>
      <c r="H871" s="148" t="s">
        <v>4945</v>
      </c>
      <c r="I871" s="1" t="s">
        <v>292</v>
      </c>
      <c r="J871" s="1" t="s">
        <v>3939</v>
      </c>
      <c r="K871" s="1">
        <v>0</v>
      </c>
      <c r="L871" s="1">
        <v>200</v>
      </c>
      <c r="M871" s="1">
        <v>0</v>
      </c>
      <c r="N871" s="205">
        <f t="shared" si="17"/>
        <v>200</v>
      </c>
      <c r="O871" s="1" t="s">
        <v>4946</v>
      </c>
      <c r="P871" s="1"/>
      <c r="Q871" s="1" t="s">
        <v>4947</v>
      </c>
      <c r="R871" s="148" t="s">
        <v>238</v>
      </c>
      <c r="S871" s="148" t="s">
        <v>4948</v>
      </c>
      <c r="T871" s="1"/>
      <c r="U871" s="1" t="s">
        <v>4949</v>
      </c>
      <c r="V871" s="1" t="s">
        <v>4950</v>
      </c>
    </row>
    <row r="872" spans="2:23" x14ac:dyDescent="0.3">
      <c r="B872" s="22">
        <v>865</v>
      </c>
      <c r="C872" s="1" t="s">
        <v>4906</v>
      </c>
      <c r="D872" s="1" t="s">
        <v>277</v>
      </c>
      <c r="E872" s="1" t="s">
        <v>4951</v>
      </c>
      <c r="F872" s="1" t="s">
        <v>243</v>
      </c>
      <c r="G872" s="1" t="s">
        <v>3466</v>
      </c>
      <c r="H872" s="148" t="s">
        <v>4952</v>
      </c>
      <c r="I872" s="1" t="s">
        <v>292</v>
      </c>
      <c r="J872" s="1" t="s">
        <v>3592</v>
      </c>
      <c r="K872" s="1">
        <v>0</v>
      </c>
      <c r="L872" s="1">
        <v>160</v>
      </c>
      <c r="M872" s="1">
        <v>0</v>
      </c>
      <c r="N872" s="205">
        <f t="shared" si="17"/>
        <v>160</v>
      </c>
      <c r="O872" s="1" t="s">
        <v>4953</v>
      </c>
      <c r="P872" s="1"/>
      <c r="Q872" s="1" t="s">
        <v>4954</v>
      </c>
      <c r="R872" s="148" t="s">
        <v>238</v>
      </c>
      <c r="S872" s="148" t="s">
        <v>4955</v>
      </c>
      <c r="T872" s="1"/>
      <c r="U872" s="1" t="s">
        <v>4956</v>
      </c>
      <c r="V872" s="1" t="s">
        <v>4957</v>
      </c>
    </row>
    <row r="873" spans="2:23" x14ac:dyDescent="0.3">
      <c r="B873" s="22">
        <v>866</v>
      </c>
      <c r="C873" s="5" t="s">
        <v>2</v>
      </c>
      <c r="D873" s="36" t="s">
        <v>53</v>
      </c>
      <c r="E873" s="5" t="s">
        <v>4958</v>
      </c>
      <c r="F873" s="5" t="s">
        <v>55</v>
      </c>
      <c r="G873" s="5" t="s">
        <v>4959</v>
      </c>
      <c r="H873" s="5" t="s">
        <v>4960</v>
      </c>
      <c r="I873" s="5" t="s">
        <v>67</v>
      </c>
      <c r="J873" s="5">
        <v>2014</v>
      </c>
      <c r="K873" s="5">
        <v>0</v>
      </c>
      <c r="L873" s="5">
        <v>170</v>
      </c>
      <c r="M873" s="5">
        <v>0</v>
      </c>
      <c r="N873" s="5">
        <v>170</v>
      </c>
      <c r="O873" s="5" t="s">
        <v>4961</v>
      </c>
      <c r="P873" s="5" t="s">
        <v>68</v>
      </c>
      <c r="Q873" s="5" t="s">
        <v>4962</v>
      </c>
      <c r="R873" s="5" t="s">
        <v>42</v>
      </c>
      <c r="S873" s="5" t="s">
        <v>4963</v>
      </c>
      <c r="T873" s="36" t="s">
        <v>1608</v>
      </c>
      <c r="U873" s="5" t="s">
        <v>2885</v>
      </c>
      <c r="V873" s="5" t="s">
        <v>4964</v>
      </c>
      <c r="W873" s="249"/>
    </row>
    <row r="874" spans="2:23" x14ac:dyDescent="0.3">
      <c r="B874" s="22">
        <v>867</v>
      </c>
      <c r="C874" s="5" t="s">
        <v>2</v>
      </c>
      <c r="D874" s="36" t="s">
        <v>53</v>
      </c>
      <c r="E874" s="77" t="s">
        <v>4965</v>
      </c>
      <c r="F874" s="109" t="s">
        <v>243</v>
      </c>
      <c r="G874" s="109" t="s">
        <v>4966</v>
      </c>
      <c r="H874" s="5" t="s">
        <v>4967</v>
      </c>
      <c r="I874" s="109" t="s">
        <v>292</v>
      </c>
      <c r="J874" s="109">
        <v>2015</v>
      </c>
      <c r="K874" s="109">
        <v>0</v>
      </c>
      <c r="L874" s="109">
        <v>310</v>
      </c>
      <c r="M874" s="109">
        <v>0</v>
      </c>
      <c r="N874" s="109">
        <v>310</v>
      </c>
      <c r="O874" s="109" t="s">
        <v>4968</v>
      </c>
      <c r="P874" s="109" t="s">
        <v>296</v>
      </c>
      <c r="Q874" s="5" t="s">
        <v>4969</v>
      </c>
      <c r="R874" s="109" t="s">
        <v>238</v>
      </c>
      <c r="S874" s="109" t="s">
        <v>4970</v>
      </c>
      <c r="T874" s="36" t="s">
        <v>1608</v>
      </c>
      <c r="U874" s="109" t="s">
        <v>4408</v>
      </c>
      <c r="V874" s="109" t="s">
        <v>4971</v>
      </c>
      <c r="W874" s="249"/>
    </row>
    <row r="875" spans="2:23" x14ac:dyDescent="0.3">
      <c r="B875" s="22">
        <v>868</v>
      </c>
      <c r="C875" s="5" t="s">
        <v>2</v>
      </c>
      <c r="D875" s="36" t="s">
        <v>53</v>
      </c>
      <c r="E875" s="36" t="s">
        <v>4972</v>
      </c>
      <c r="F875" s="36" t="s">
        <v>55</v>
      </c>
      <c r="G875" s="36" t="s">
        <v>167</v>
      </c>
      <c r="H875" s="36" t="s">
        <v>4973</v>
      </c>
      <c r="I875" s="36" t="s">
        <v>51</v>
      </c>
      <c r="J875" s="36">
        <v>2005</v>
      </c>
      <c r="K875" s="36">
        <v>0</v>
      </c>
      <c r="L875" s="36">
        <v>300</v>
      </c>
      <c r="M875" s="36">
        <v>0</v>
      </c>
      <c r="N875" s="36">
        <v>300</v>
      </c>
      <c r="O875" s="36" t="s">
        <v>4974</v>
      </c>
      <c r="P875" s="36" t="s">
        <v>68</v>
      </c>
      <c r="Q875" s="5" t="s">
        <v>4975</v>
      </c>
      <c r="R875" s="36" t="s">
        <v>888</v>
      </c>
      <c r="S875" s="36" t="s">
        <v>68</v>
      </c>
      <c r="T875" s="36" t="s">
        <v>1608</v>
      </c>
      <c r="U875" s="109" t="s">
        <v>4408</v>
      </c>
      <c r="V875" s="109" t="s">
        <v>4971</v>
      </c>
      <c r="W875" s="249"/>
    </row>
    <row r="876" spans="2:23" x14ac:dyDescent="0.3">
      <c r="B876" s="22">
        <v>869</v>
      </c>
      <c r="C876" s="5" t="s">
        <v>2</v>
      </c>
      <c r="D876" s="36" t="s">
        <v>53</v>
      </c>
      <c r="E876" s="36" t="s">
        <v>4976</v>
      </c>
      <c r="F876" s="36" t="s">
        <v>55</v>
      </c>
      <c r="G876" s="36" t="s">
        <v>4977</v>
      </c>
      <c r="H876" s="36" t="s">
        <v>4978</v>
      </c>
      <c r="I876" s="36" t="s">
        <v>67</v>
      </c>
      <c r="J876" s="36">
        <v>2013</v>
      </c>
      <c r="K876" s="36">
        <v>0</v>
      </c>
      <c r="L876" s="36">
        <v>575</v>
      </c>
      <c r="M876" s="36">
        <v>0</v>
      </c>
      <c r="N876" s="36">
        <v>575</v>
      </c>
      <c r="O876" s="36" t="s">
        <v>846</v>
      </c>
      <c r="P876" s="36" t="s">
        <v>846</v>
      </c>
      <c r="Q876" s="36" t="s">
        <v>4979</v>
      </c>
      <c r="R876" s="36" t="s">
        <v>173</v>
      </c>
      <c r="S876" s="36" t="s">
        <v>68</v>
      </c>
      <c r="T876" s="36" t="s">
        <v>1608</v>
      </c>
      <c r="U876" s="36" t="s">
        <v>4980</v>
      </c>
      <c r="V876" s="36" t="s">
        <v>4981</v>
      </c>
      <c r="W876" s="249"/>
    </row>
    <row r="877" spans="2:23" x14ac:dyDescent="0.3">
      <c r="B877" s="22">
        <v>870</v>
      </c>
      <c r="C877" s="5" t="s">
        <v>2</v>
      </c>
      <c r="D877" s="36" t="s">
        <v>53</v>
      </c>
      <c r="E877" s="36" t="s">
        <v>4982</v>
      </c>
      <c r="F877" s="36" t="s">
        <v>55</v>
      </c>
      <c r="G877" s="36" t="s">
        <v>4983</v>
      </c>
      <c r="H877" s="36" t="s">
        <v>4984</v>
      </c>
      <c r="I877" s="36" t="s">
        <v>51</v>
      </c>
      <c r="J877" s="36">
        <v>2005</v>
      </c>
      <c r="K877" s="36">
        <v>0</v>
      </c>
      <c r="L877" s="93">
        <v>2000</v>
      </c>
      <c r="M877" s="36">
        <v>0</v>
      </c>
      <c r="N877" s="93">
        <v>2000</v>
      </c>
      <c r="O877" s="36" t="s">
        <v>846</v>
      </c>
      <c r="P877" s="36" t="s">
        <v>846</v>
      </c>
      <c r="Q877" s="5" t="s">
        <v>4962</v>
      </c>
      <c r="R877" s="5" t="s">
        <v>42</v>
      </c>
      <c r="S877" s="5" t="s">
        <v>4963</v>
      </c>
      <c r="T877" s="36" t="s">
        <v>1608</v>
      </c>
      <c r="U877" s="36" t="s">
        <v>4985</v>
      </c>
      <c r="V877" s="36" t="s">
        <v>4986</v>
      </c>
      <c r="W877" s="249"/>
    </row>
    <row r="878" spans="2:23" x14ac:dyDescent="0.3">
      <c r="B878" s="22">
        <v>871</v>
      </c>
      <c r="C878" s="5" t="s">
        <v>2</v>
      </c>
      <c r="D878" s="36" t="s">
        <v>53</v>
      </c>
      <c r="E878" s="36" t="s">
        <v>4987</v>
      </c>
      <c r="F878" s="36" t="s">
        <v>55</v>
      </c>
      <c r="G878" s="36" t="s">
        <v>4988</v>
      </c>
      <c r="H878" s="36" t="s">
        <v>4989</v>
      </c>
      <c r="I878" s="36" t="s">
        <v>67</v>
      </c>
      <c r="J878" s="36">
        <v>2007</v>
      </c>
      <c r="K878" s="36">
        <v>650</v>
      </c>
      <c r="L878" s="93">
        <v>2300</v>
      </c>
      <c r="M878" s="36">
        <v>0</v>
      </c>
      <c r="N878" s="93">
        <v>2950</v>
      </c>
      <c r="O878" s="36" t="s">
        <v>4990</v>
      </c>
      <c r="P878" s="36" t="s">
        <v>68</v>
      </c>
      <c r="Q878" s="36" t="s">
        <v>4987</v>
      </c>
      <c r="R878" s="36" t="s">
        <v>173</v>
      </c>
      <c r="S878" s="5" t="s">
        <v>1538</v>
      </c>
      <c r="T878" s="36" t="s">
        <v>43</v>
      </c>
      <c r="U878" s="36" t="s">
        <v>4991</v>
      </c>
      <c r="V878" s="36" t="s">
        <v>4992</v>
      </c>
      <c r="W878" s="249"/>
    </row>
    <row r="879" spans="2:23" x14ac:dyDescent="0.3">
      <c r="B879" s="22">
        <v>872</v>
      </c>
      <c r="C879" s="5" t="s">
        <v>2</v>
      </c>
      <c r="D879" s="36" t="s">
        <v>53</v>
      </c>
      <c r="E879" s="36" t="s">
        <v>4993</v>
      </c>
      <c r="F879" s="36" t="s">
        <v>55</v>
      </c>
      <c r="G879" s="36" t="s">
        <v>4994</v>
      </c>
      <c r="H879" s="36" t="s">
        <v>4995</v>
      </c>
      <c r="I879" s="36" t="s">
        <v>67</v>
      </c>
      <c r="J879" s="36">
        <v>2003</v>
      </c>
      <c r="K879" s="36">
        <v>0</v>
      </c>
      <c r="L879" s="93">
        <v>2000</v>
      </c>
      <c r="M879" s="36">
        <v>0</v>
      </c>
      <c r="N879" s="93">
        <v>2000</v>
      </c>
      <c r="O879" s="36" t="s">
        <v>4996</v>
      </c>
      <c r="P879" s="36" t="s">
        <v>4997</v>
      </c>
      <c r="Q879" s="36" t="s">
        <v>4998</v>
      </c>
      <c r="R879" s="36" t="s">
        <v>42</v>
      </c>
      <c r="S879" s="36" t="s">
        <v>4999</v>
      </c>
      <c r="T879" s="36" t="s">
        <v>1608</v>
      </c>
      <c r="U879" s="36" t="s">
        <v>5000</v>
      </c>
      <c r="V879" s="36" t="s">
        <v>5001</v>
      </c>
      <c r="W879" s="249"/>
    </row>
    <row r="880" spans="2:23" x14ac:dyDescent="0.3">
      <c r="B880" s="22">
        <v>873</v>
      </c>
      <c r="C880" s="36" t="s">
        <v>2</v>
      </c>
      <c r="D880" s="36" t="s">
        <v>53</v>
      </c>
      <c r="E880" s="36" t="s">
        <v>5002</v>
      </c>
      <c r="F880" s="36" t="s">
        <v>5003</v>
      </c>
      <c r="G880" s="36" t="s">
        <v>167</v>
      </c>
      <c r="H880" s="36" t="s">
        <v>5004</v>
      </c>
      <c r="I880" s="36" t="s">
        <v>67</v>
      </c>
      <c r="J880" s="36">
        <v>2000</v>
      </c>
      <c r="K880" s="36">
        <v>0</v>
      </c>
      <c r="L880" s="36">
        <v>370</v>
      </c>
      <c r="M880" s="36">
        <v>0</v>
      </c>
      <c r="N880" s="36">
        <v>370</v>
      </c>
      <c r="O880" s="36" t="s">
        <v>5005</v>
      </c>
      <c r="P880" s="36" t="s">
        <v>68</v>
      </c>
      <c r="Q880" s="36" t="s">
        <v>5006</v>
      </c>
      <c r="R880" s="36" t="s">
        <v>42</v>
      </c>
      <c r="S880" s="36" t="s">
        <v>5007</v>
      </c>
      <c r="T880" s="36" t="s">
        <v>1608</v>
      </c>
      <c r="U880" s="36" t="s">
        <v>5008</v>
      </c>
      <c r="V880" s="36" t="s">
        <v>5009</v>
      </c>
      <c r="W880" s="249"/>
    </row>
    <row r="881" spans="2:23" x14ac:dyDescent="0.3">
      <c r="B881" s="22">
        <v>874</v>
      </c>
      <c r="C881" s="5" t="s">
        <v>2</v>
      </c>
      <c r="D881" s="36" t="s">
        <v>53</v>
      </c>
      <c r="E881" s="224" t="s">
        <v>5010</v>
      </c>
      <c r="F881" s="36" t="s">
        <v>50</v>
      </c>
      <c r="G881" s="36" t="s">
        <v>167</v>
      </c>
      <c r="H881" s="36" t="s">
        <v>5011</v>
      </c>
      <c r="I881" s="36" t="s">
        <v>67</v>
      </c>
      <c r="J881" s="36">
        <v>2010</v>
      </c>
      <c r="K881" s="36">
        <v>0</v>
      </c>
      <c r="L881" s="36">
        <v>460</v>
      </c>
      <c r="M881" s="36">
        <v>90</v>
      </c>
      <c r="N881" s="36">
        <v>550</v>
      </c>
      <c r="O881" s="36" t="s">
        <v>846</v>
      </c>
      <c r="P881" s="36" t="s">
        <v>846</v>
      </c>
      <c r="Q881" s="36" t="s">
        <v>5012</v>
      </c>
      <c r="R881" s="36" t="s">
        <v>2414</v>
      </c>
      <c r="S881" s="36" t="s">
        <v>68</v>
      </c>
      <c r="T881" s="36" t="s">
        <v>1608</v>
      </c>
      <c r="U881" s="36" t="s">
        <v>5013</v>
      </c>
      <c r="V881" s="36" t="s">
        <v>5014</v>
      </c>
      <c r="W881" s="249"/>
    </row>
    <row r="882" spans="2:23" x14ac:dyDescent="0.3">
      <c r="B882" s="22">
        <v>875</v>
      </c>
      <c r="C882" s="5" t="s">
        <v>2</v>
      </c>
      <c r="D882" s="36" t="s">
        <v>53</v>
      </c>
      <c r="E882" s="36" t="s">
        <v>5015</v>
      </c>
      <c r="F882" s="36" t="s">
        <v>5003</v>
      </c>
      <c r="G882" s="36" t="s">
        <v>742</v>
      </c>
      <c r="H882" s="36" t="s">
        <v>5016</v>
      </c>
      <c r="I882" s="36" t="s">
        <v>51</v>
      </c>
      <c r="J882" s="36">
        <v>2013</v>
      </c>
      <c r="K882" s="36">
        <v>30</v>
      </c>
      <c r="L882" s="93">
        <v>1240</v>
      </c>
      <c r="M882" s="36">
        <v>900</v>
      </c>
      <c r="N882" s="93">
        <v>2170</v>
      </c>
      <c r="O882" s="36" t="s">
        <v>846</v>
      </c>
      <c r="P882" s="36" t="s">
        <v>846</v>
      </c>
      <c r="Q882" s="36" t="s">
        <v>5017</v>
      </c>
      <c r="R882" s="36" t="s">
        <v>173</v>
      </c>
      <c r="S882" s="36" t="s">
        <v>1197</v>
      </c>
      <c r="T882" s="36" t="s">
        <v>43</v>
      </c>
      <c r="U882" s="36" t="s">
        <v>5018</v>
      </c>
      <c r="V882" s="36" t="s">
        <v>5019</v>
      </c>
      <c r="W882" s="249"/>
    </row>
    <row r="883" spans="2:23" x14ac:dyDescent="0.3">
      <c r="B883" s="22">
        <v>876</v>
      </c>
      <c r="C883" s="5" t="s">
        <v>2</v>
      </c>
      <c r="D883" s="36" t="s">
        <v>53</v>
      </c>
      <c r="E883" s="36" t="s">
        <v>5020</v>
      </c>
      <c r="F883" s="36" t="s">
        <v>5003</v>
      </c>
      <c r="G883" s="36" t="s">
        <v>742</v>
      </c>
      <c r="H883" s="36" t="s">
        <v>869</v>
      </c>
      <c r="I883" s="36" t="s">
        <v>869</v>
      </c>
      <c r="J883" s="36">
        <v>2014</v>
      </c>
      <c r="K883" s="36">
        <v>0</v>
      </c>
      <c r="L883" s="36">
        <v>522</v>
      </c>
      <c r="M883" s="36">
        <v>0</v>
      </c>
      <c r="N883" s="36">
        <v>522</v>
      </c>
      <c r="O883" s="36" t="s">
        <v>5021</v>
      </c>
      <c r="P883" s="36" t="s">
        <v>68</v>
      </c>
      <c r="Q883" s="36" t="s">
        <v>81</v>
      </c>
      <c r="R883" s="36" t="s">
        <v>68</v>
      </c>
      <c r="S883" s="36" t="s">
        <v>5022</v>
      </c>
      <c r="T883" s="36" t="s">
        <v>1608</v>
      </c>
      <c r="U883" s="36" t="s">
        <v>5023</v>
      </c>
      <c r="V883" s="36" t="s">
        <v>5024</v>
      </c>
      <c r="W883" s="249"/>
    </row>
    <row r="884" spans="2:23" x14ac:dyDescent="0.3">
      <c r="B884" s="22">
        <v>877</v>
      </c>
      <c r="C884" s="5" t="s">
        <v>2</v>
      </c>
      <c r="D884" s="36" t="s">
        <v>53</v>
      </c>
      <c r="E884" s="36" t="s">
        <v>5025</v>
      </c>
      <c r="F884" s="36" t="s">
        <v>50</v>
      </c>
      <c r="G884" s="36" t="s">
        <v>167</v>
      </c>
      <c r="H884" s="36" t="s">
        <v>5026</v>
      </c>
      <c r="I884" s="36" t="s">
        <v>67</v>
      </c>
      <c r="J884" s="36">
        <v>1978</v>
      </c>
      <c r="K884" s="36">
        <v>30</v>
      </c>
      <c r="L884" s="36">
        <v>470</v>
      </c>
      <c r="M884" s="36">
        <v>20</v>
      </c>
      <c r="N884" s="36">
        <v>520</v>
      </c>
      <c r="O884" s="36" t="s">
        <v>5027</v>
      </c>
      <c r="P884" s="36" t="s">
        <v>68</v>
      </c>
      <c r="Q884" s="36" t="s">
        <v>5028</v>
      </c>
      <c r="R884" s="36" t="s">
        <v>173</v>
      </c>
      <c r="S884" s="36" t="s">
        <v>5029</v>
      </c>
      <c r="T884" s="36" t="s">
        <v>43</v>
      </c>
      <c r="U884" s="36" t="s">
        <v>5030</v>
      </c>
      <c r="V884" s="36" t="s">
        <v>5031</v>
      </c>
      <c r="W884" s="249"/>
    </row>
    <row r="885" spans="2:23" x14ac:dyDescent="0.3">
      <c r="B885" s="22">
        <v>878</v>
      </c>
      <c r="C885" s="5" t="s">
        <v>2</v>
      </c>
      <c r="D885" s="36" t="s">
        <v>4632</v>
      </c>
      <c r="E885" s="36" t="s">
        <v>5032</v>
      </c>
      <c r="F885" s="36" t="s">
        <v>390</v>
      </c>
      <c r="G885" s="36" t="s">
        <v>5033</v>
      </c>
      <c r="H885" s="36" t="s">
        <v>5034</v>
      </c>
      <c r="I885" s="36" t="s">
        <v>51</v>
      </c>
      <c r="J885" s="36">
        <v>2006</v>
      </c>
      <c r="K885" s="36">
        <v>0</v>
      </c>
      <c r="L885" s="36">
        <v>10</v>
      </c>
      <c r="M885" s="36">
        <v>5</v>
      </c>
      <c r="N885" s="36">
        <v>15</v>
      </c>
      <c r="O885" s="36" t="s">
        <v>5035</v>
      </c>
      <c r="P885" s="36" t="s">
        <v>68</v>
      </c>
      <c r="Q885" s="36" t="s">
        <v>5036</v>
      </c>
      <c r="R885" s="36" t="s">
        <v>5037</v>
      </c>
      <c r="S885" s="36" t="s">
        <v>5038</v>
      </c>
      <c r="T885" s="36" t="s">
        <v>1608</v>
      </c>
      <c r="U885" s="5" t="s">
        <v>5039</v>
      </c>
      <c r="V885" s="5" t="s">
        <v>5040</v>
      </c>
      <c r="W885" s="249"/>
    </row>
    <row r="886" spans="2:23" x14ac:dyDescent="0.3">
      <c r="B886" s="22">
        <v>879</v>
      </c>
      <c r="C886" s="5" t="s">
        <v>2</v>
      </c>
      <c r="D886" s="36" t="s">
        <v>4632</v>
      </c>
      <c r="E886" s="36" t="s">
        <v>5041</v>
      </c>
      <c r="F886" s="36" t="s">
        <v>5042</v>
      </c>
      <c r="G886" s="36" t="s">
        <v>5043</v>
      </c>
      <c r="H886" s="36" t="s">
        <v>5044</v>
      </c>
      <c r="I886" s="36" t="s">
        <v>235</v>
      </c>
      <c r="J886" s="36">
        <v>2010</v>
      </c>
      <c r="K886" s="36">
        <v>0</v>
      </c>
      <c r="L886" s="36">
        <v>58</v>
      </c>
      <c r="M886" s="36">
        <v>25</v>
      </c>
      <c r="N886" s="36">
        <v>83</v>
      </c>
      <c r="O886" s="36" t="s">
        <v>846</v>
      </c>
      <c r="P886" s="36" t="s">
        <v>846</v>
      </c>
      <c r="Q886" s="36" t="s">
        <v>5045</v>
      </c>
      <c r="R886" s="36" t="s">
        <v>5046</v>
      </c>
      <c r="S886" s="36" t="s">
        <v>68</v>
      </c>
      <c r="T886" s="36" t="s">
        <v>1608</v>
      </c>
      <c r="U886" s="5" t="s">
        <v>5047</v>
      </c>
      <c r="V886" s="5" t="s">
        <v>5048</v>
      </c>
      <c r="W886" s="249"/>
    </row>
    <row r="887" spans="2:23" x14ac:dyDescent="0.3">
      <c r="B887" s="22">
        <v>880</v>
      </c>
      <c r="C887" s="5" t="s">
        <v>2</v>
      </c>
      <c r="D887" s="36" t="s">
        <v>4632</v>
      </c>
      <c r="E887" s="36" t="s">
        <v>5049</v>
      </c>
      <c r="F887" s="36" t="s">
        <v>5042</v>
      </c>
      <c r="G887" s="36" t="s">
        <v>178</v>
      </c>
      <c r="H887" s="36" t="s">
        <v>5050</v>
      </c>
      <c r="I887" s="36" t="s">
        <v>51</v>
      </c>
      <c r="J887" s="36">
        <v>2022</v>
      </c>
      <c r="K887" s="36">
        <v>0</v>
      </c>
      <c r="L887" s="36">
        <v>77</v>
      </c>
      <c r="M887" s="36">
        <v>33</v>
      </c>
      <c r="N887" s="36">
        <v>110</v>
      </c>
      <c r="O887" s="5" t="s">
        <v>846</v>
      </c>
      <c r="P887" s="36" t="s">
        <v>846</v>
      </c>
      <c r="Q887" s="36" t="s">
        <v>5051</v>
      </c>
      <c r="R887" s="36" t="s">
        <v>5037</v>
      </c>
      <c r="S887" s="36" t="s">
        <v>68</v>
      </c>
      <c r="T887" s="36" t="s">
        <v>1608</v>
      </c>
      <c r="U887" s="5" t="s">
        <v>5052</v>
      </c>
      <c r="V887" s="5" t="s">
        <v>5053</v>
      </c>
      <c r="W887" s="249"/>
    </row>
    <row r="888" spans="2:23" x14ac:dyDescent="0.3">
      <c r="B888" s="22">
        <v>881</v>
      </c>
      <c r="C888" s="5" t="s">
        <v>2</v>
      </c>
      <c r="D888" s="36" t="s">
        <v>4632</v>
      </c>
      <c r="E888" s="36" t="s">
        <v>5054</v>
      </c>
      <c r="F888" s="5" t="s">
        <v>55</v>
      </c>
      <c r="G888" s="5" t="s">
        <v>728</v>
      </c>
      <c r="H888" s="5" t="s">
        <v>5055</v>
      </c>
      <c r="I888" s="5" t="s">
        <v>67</v>
      </c>
      <c r="J888" s="5">
        <v>2022</v>
      </c>
      <c r="K888" s="5">
        <v>0</v>
      </c>
      <c r="L888" s="5">
        <v>150</v>
      </c>
      <c r="M888" s="5">
        <v>0</v>
      </c>
      <c r="N888" s="5">
        <v>150</v>
      </c>
      <c r="O888" s="36" t="s">
        <v>846</v>
      </c>
      <c r="P888" s="36" t="s">
        <v>846</v>
      </c>
      <c r="Q888" s="36" t="s">
        <v>81</v>
      </c>
      <c r="R888" s="36" t="s">
        <v>68</v>
      </c>
      <c r="S888" s="36" t="s">
        <v>68</v>
      </c>
      <c r="T888" s="36" t="s">
        <v>1608</v>
      </c>
      <c r="U888" s="36" t="s">
        <v>5056</v>
      </c>
      <c r="V888" s="5" t="s">
        <v>5057</v>
      </c>
      <c r="W888" s="249"/>
    </row>
    <row r="889" spans="2:23" x14ac:dyDescent="0.3">
      <c r="B889" s="22">
        <v>882</v>
      </c>
      <c r="C889" s="5" t="s">
        <v>2</v>
      </c>
      <c r="D889" s="36" t="s">
        <v>4632</v>
      </c>
      <c r="E889" s="36" t="s">
        <v>5058</v>
      </c>
      <c r="F889" s="36" t="s">
        <v>55</v>
      </c>
      <c r="G889" s="36" t="s">
        <v>2376</v>
      </c>
      <c r="H889" s="36" t="s">
        <v>5059</v>
      </c>
      <c r="I889" s="36" t="s">
        <v>67</v>
      </c>
      <c r="J889" s="36">
        <v>2013</v>
      </c>
      <c r="K889" s="36">
        <v>0</v>
      </c>
      <c r="L889" s="36">
        <v>165</v>
      </c>
      <c r="M889" s="36">
        <v>0</v>
      </c>
      <c r="N889" s="36">
        <v>165</v>
      </c>
      <c r="O889" s="36" t="s">
        <v>5060</v>
      </c>
      <c r="P889" s="36" t="s">
        <v>68</v>
      </c>
      <c r="Q889" s="36" t="s">
        <v>5061</v>
      </c>
      <c r="R889" s="36" t="s">
        <v>877</v>
      </c>
      <c r="S889" s="36" t="s">
        <v>68</v>
      </c>
      <c r="T889" s="36" t="s">
        <v>1608</v>
      </c>
      <c r="U889" s="36" t="s">
        <v>5062</v>
      </c>
      <c r="V889" s="36" t="s">
        <v>5063</v>
      </c>
      <c r="W889" s="249"/>
    </row>
    <row r="890" spans="2:23" x14ac:dyDescent="0.3">
      <c r="B890" s="22">
        <v>883</v>
      </c>
      <c r="C890" s="5" t="s">
        <v>2</v>
      </c>
      <c r="D890" s="36" t="s">
        <v>4632</v>
      </c>
      <c r="E890" s="36" t="s">
        <v>5064</v>
      </c>
      <c r="F890" s="36" t="s">
        <v>50</v>
      </c>
      <c r="G890" s="36" t="s">
        <v>440</v>
      </c>
      <c r="H890" s="36" t="s">
        <v>5065</v>
      </c>
      <c r="I890" s="36" t="s">
        <v>67</v>
      </c>
      <c r="J890" s="36">
        <v>1997</v>
      </c>
      <c r="K890" s="36">
        <v>150</v>
      </c>
      <c r="L890" s="36">
        <v>80</v>
      </c>
      <c r="M890" s="36">
        <v>20</v>
      </c>
      <c r="N890" s="36">
        <v>250</v>
      </c>
      <c r="O890" s="36" t="s">
        <v>846</v>
      </c>
      <c r="P890" s="36" t="s">
        <v>846</v>
      </c>
      <c r="Q890" s="36" t="s">
        <v>5066</v>
      </c>
      <c r="R890" s="36" t="s">
        <v>2414</v>
      </c>
      <c r="S890" s="36" t="s">
        <v>68</v>
      </c>
      <c r="T890" s="36" t="s">
        <v>5067</v>
      </c>
      <c r="U890" s="5" t="s">
        <v>5068</v>
      </c>
      <c r="V890" s="5" t="s">
        <v>5069</v>
      </c>
      <c r="W890" s="249"/>
    </row>
    <row r="891" spans="2:23" x14ac:dyDescent="0.3">
      <c r="B891" s="22">
        <v>884</v>
      </c>
      <c r="C891" s="5" t="s">
        <v>2</v>
      </c>
      <c r="D891" s="36" t="s">
        <v>4632</v>
      </c>
      <c r="E891" s="36" t="s">
        <v>5070</v>
      </c>
      <c r="F891" s="36" t="s">
        <v>55</v>
      </c>
      <c r="G891" s="36" t="s">
        <v>167</v>
      </c>
      <c r="H891" s="36" t="s">
        <v>5071</v>
      </c>
      <c r="I891" s="36" t="s">
        <v>67</v>
      </c>
      <c r="J891" s="36">
        <v>2014</v>
      </c>
      <c r="K891" s="36">
        <v>0</v>
      </c>
      <c r="L891" s="36">
        <v>23.5</v>
      </c>
      <c r="M891" s="36">
        <v>4</v>
      </c>
      <c r="N891" s="36">
        <v>27.5</v>
      </c>
      <c r="O891" s="5" t="s">
        <v>5072</v>
      </c>
      <c r="P891" s="36" t="s">
        <v>68</v>
      </c>
      <c r="Q891" s="36" t="s">
        <v>5073</v>
      </c>
      <c r="R891" s="36" t="s">
        <v>2414</v>
      </c>
      <c r="S891" s="36" t="s">
        <v>68</v>
      </c>
      <c r="T891" s="36" t="s">
        <v>1608</v>
      </c>
      <c r="U891" s="5" t="s">
        <v>5074</v>
      </c>
      <c r="V891" s="5" t="s">
        <v>5075</v>
      </c>
      <c r="W891" s="249"/>
    </row>
    <row r="892" spans="2:23" x14ac:dyDescent="0.3">
      <c r="B892" s="22">
        <v>885</v>
      </c>
      <c r="C892" s="5" t="s">
        <v>2</v>
      </c>
      <c r="D892" s="36" t="s">
        <v>4632</v>
      </c>
      <c r="E892" s="36" t="s">
        <v>5076</v>
      </c>
      <c r="F892" s="36" t="s">
        <v>50</v>
      </c>
      <c r="G892" s="36" t="s">
        <v>167</v>
      </c>
      <c r="H892" s="36" t="s">
        <v>5077</v>
      </c>
      <c r="I892" s="36" t="s">
        <v>67</v>
      </c>
      <c r="J892" s="36">
        <v>2011</v>
      </c>
      <c r="K892" s="36">
        <v>40</v>
      </c>
      <c r="L892" s="36">
        <v>20</v>
      </c>
      <c r="M892" s="36">
        <v>10</v>
      </c>
      <c r="N892" s="36">
        <v>70</v>
      </c>
      <c r="O892" s="36" t="s">
        <v>846</v>
      </c>
      <c r="P892" s="36" t="s">
        <v>846</v>
      </c>
      <c r="Q892" s="36" t="s">
        <v>5078</v>
      </c>
      <c r="R892" s="36" t="s">
        <v>2414</v>
      </c>
      <c r="S892" s="36" t="s">
        <v>68</v>
      </c>
      <c r="T892" s="36" t="s">
        <v>5067</v>
      </c>
      <c r="U892" s="5" t="s">
        <v>5068</v>
      </c>
      <c r="V892" s="5" t="s">
        <v>5069</v>
      </c>
      <c r="W892" s="249"/>
    </row>
    <row r="893" spans="2:23" x14ac:dyDescent="0.3">
      <c r="B893" s="22">
        <v>886</v>
      </c>
      <c r="C893" s="5" t="s">
        <v>2</v>
      </c>
      <c r="D893" s="36" t="s">
        <v>4632</v>
      </c>
      <c r="E893" s="36" t="s">
        <v>5079</v>
      </c>
      <c r="F893" s="36" t="s">
        <v>5042</v>
      </c>
      <c r="G893" s="36" t="s">
        <v>167</v>
      </c>
      <c r="H893" s="36" t="s">
        <v>5080</v>
      </c>
      <c r="I893" s="36" t="s">
        <v>67</v>
      </c>
      <c r="J893" s="36">
        <v>1990</v>
      </c>
      <c r="K893" s="36">
        <v>0</v>
      </c>
      <c r="L893" s="36">
        <v>30</v>
      </c>
      <c r="M893" s="36" t="s">
        <v>422</v>
      </c>
      <c r="N893" s="36">
        <v>30</v>
      </c>
      <c r="O893" s="36" t="s">
        <v>5081</v>
      </c>
      <c r="P893" s="36" t="s">
        <v>68</v>
      </c>
      <c r="Q893" s="36" t="s">
        <v>5082</v>
      </c>
      <c r="R893" s="36" t="s">
        <v>5083</v>
      </c>
      <c r="S893" s="36" t="s">
        <v>68</v>
      </c>
      <c r="T893" s="36" t="s">
        <v>1608</v>
      </c>
      <c r="U893" s="36" t="s">
        <v>5062</v>
      </c>
      <c r="V893" s="36" t="s">
        <v>5063</v>
      </c>
      <c r="W893" s="249"/>
    </row>
    <row r="894" spans="2:23" x14ac:dyDescent="0.3">
      <c r="B894" s="22">
        <v>887</v>
      </c>
      <c r="C894" s="5" t="s">
        <v>2</v>
      </c>
      <c r="D894" s="36" t="s">
        <v>4632</v>
      </c>
      <c r="E894" s="36" t="s">
        <v>5084</v>
      </c>
      <c r="F894" s="36" t="s">
        <v>55</v>
      </c>
      <c r="G894" s="36" t="s">
        <v>167</v>
      </c>
      <c r="H894" s="36" t="s">
        <v>5085</v>
      </c>
      <c r="I894" s="36" t="s">
        <v>67</v>
      </c>
      <c r="J894" s="36">
        <v>1993</v>
      </c>
      <c r="K894" s="36">
        <v>0</v>
      </c>
      <c r="L894" s="36">
        <v>20</v>
      </c>
      <c r="M894" s="36" t="s">
        <v>422</v>
      </c>
      <c r="N894" s="36">
        <v>20</v>
      </c>
      <c r="O894" s="36" t="s">
        <v>5086</v>
      </c>
      <c r="P894" s="36" t="s">
        <v>68</v>
      </c>
      <c r="Q894" s="36" t="s">
        <v>5087</v>
      </c>
      <c r="R894" s="36" t="s">
        <v>5083</v>
      </c>
      <c r="S894" s="36" t="s">
        <v>68</v>
      </c>
      <c r="T894" s="36" t="s">
        <v>1608</v>
      </c>
      <c r="U894" s="36" t="s">
        <v>5062</v>
      </c>
      <c r="V894" s="36" t="s">
        <v>5063</v>
      </c>
      <c r="W894" s="249"/>
    </row>
    <row r="895" spans="2:23" x14ac:dyDescent="0.3">
      <c r="B895" s="22">
        <v>888</v>
      </c>
      <c r="C895" s="5" t="s">
        <v>2</v>
      </c>
      <c r="D895" s="36" t="s">
        <v>4632</v>
      </c>
      <c r="E895" s="36" t="s">
        <v>5088</v>
      </c>
      <c r="F895" s="36" t="s">
        <v>55</v>
      </c>
      <c r="G895" s="36" t="s">
        <v>167</v>
      </c>
      <c r="H895" s="36" t="s">
        <v>5089</v>
      </c>
      <c r="I895" s="36" t="s">
        <v>67</v>
      </c>
      <c r="J895" s="36">
        <v>2020</v>
      </c>
      <c r="K895" s="36">
        <v>0</v>
      </c>
      <c r="L895" s="36">
        <v>30</v>
      </c>
      <c r="M895" s="36" t="s">
        <v>422</v>
      </c>
      <c r="N895" s="36">
        <v>30</v>
      </c>
      <c r="O895" s="36" t="s">
        <v>5081</v>
      </c>
      <c r="P895" s="36" t="s">
        <v>68</v>
      </c>
      <c r="Q895" s="36" t="s">
        <v>5090</v>
      </c>
      <c r="R895" s="36" t="s">
        <v>5083</v>
      </c>
      <c r="S895" s="36" t="s">
        <v>68</v>
      </c>
      <c r="T895" s="36" t="s">
        <v>1608</v>
      </c>
      <c r="U895" s="36" t="s">
        <v>5062</v>
      </c>
      <c r="V895" s="36" t="s">
        <v>5063</v>
      </c>
      <c r="W895" s="249"/>
    </row>
    <row r="896" spans="2:23" x14ac:dyDescent="0.3">
      <c r="B896" s="22">
        <v>889</v>
      </c>
      <c r="C896" s="5" t="s">
        <v>2</v>
      </c>
      <c r="D896" s="36" t="s">
        <v>4632</v>
      </c>
      <c r="E896" s="36" t="s">
        <v>5091</v>
      </c>
      <c r="F896" s="36" t="s">
        <v>55</v>
      </c>
      <c r="G896" s="36" t="s">
        <v>167</v>
      </c>
      <c r="H896" s="36" t="s">
        <v>5092</v>
      </c>
      <c r="I896" s="36" t="s">
        <v>67</v>
      </c>
      <c r="J896" s="36">
        <v>2006</v>
      </c>
      <c r="K896" s="36">
        <v>0</v>
      </c>
      <c r="L896" s="36">
        <v>20</v>
      </c>
      <c r="M896" s="36" t="s">
        <v>422</v>
      </c>
      <c r="N896" s="36">
        <v>20</v>
      </c>
      <c r="O896" s="36" t="s">
        <v>846</v>
      </c>
      <c r="P896" s="36" t="s">
        <v>846</v>
      </c>
      <c r="Q896" s="36" t="s">
        <v>5093</v>
      </c>
      <c r="R896" s="36" t="s">
        <v>5083</v>
      </c>
      <c r="S896" s="36" t="s">
        <v>68</v>
      </c>
      <c r="T896" s="36" t="s">
        <v>1608</v>
      </c>
      <c r="U896" s="36" t="s">
        <v>5062</v>
      </c>
      <c r="V896" s="36" t="s">
        <v>5063</v>
      </c>
      <c r="W896" s="249"/>
    </row>
    <row r="897" spans="2:23" x14ac:dyDescent="0.3">
      <c r="B897" s="22">
        <v>890</v>
      </c>
      <c r="C897" s="5" t="s">
        <v>2</v>
      </c>
      <c r="D897" s="36" t="s">
        <v>4610</v>
      </c>
      <c r="E897" s="36" t="s">
        <v>5094</v>
      </c>
      <c r="F897" s="36" t="s">
        <v>95</v>
      </c>
      <c r="G897" s="36" t="s">
        <v>2557</v>
      </c>
      <c r="H897" s="36" t="s">
        <v>5095</v>
      </c>
      <c r="I897" s="36" t="s">
        <v>51</v>
      </c>
      <c r="J897" s="36">
        <v>2009</v>
      </c>
      <c r="K897" s="36">
        <v>0</v>
      </c>
      <c r="L897" s="36">
        <v>30</v>
      </c>
      <c r="M897" s="36">
        <v>0</v>
      </c>
      <c r="N897" s="36">
        <v>30</v>
      </c>
      <c r="O897" s="36" t="s">
        <v>846</v>
      </c>
      <c r="P897" s="36" t="s">
        <v>846</v>
      </c>
      <c r="Q897" s="36" t="s">
        <v>5096</v>
      </c>
      <c r="R897" s="36" t="s">
        <v>853</v>
      </c>
      <c r="S897" s="36" t="s">
        <v>68</v>
      </c>
      <c r="T897" s="36" t="s">
        <v>1608</v>
      </c>
      <c r="U897" s="36" t="s">
        <v>5097</v>
      </c>
      <c r="V897" s="36" t="s">
        <v>5098</v>
      </c>
      <c r="W897" s="249"/>
    </row>
    <row r="898" spans="2:23" x14ac:dyDescent="0.3">
      <c r="B898" s="22">
        <v>891</v>
      </c>
      <c r="C898" s="5" t="s">
        <v>2</v>
      </c>
      <c r="D898" s="36" t="s">
        <v>4610</v>
      </c>
      <c r="E898" s="36" t="s">
        <v>5099</v>
      </c>
      <c r="F898" s="36" t="s">
        <v>106</v>
      </c>
      <c r="G898" s="36" t="s">
        <v>167</v>
      </c>
      <c r="H898" s="36" t="s">
        <v>422</v>
      </c>
      <c r="I898" s="36" t="s">
        <v>51</v>
      </c>
      <c r="J898" s="36">
        <v>2022</v>
      </c>
      <c r="K898" s="36">
        <v>0</v>
      </c>
      <c r="L898" s="36">
        <v>200</v>
      </c>
      <c r="M898" s="36">
        <v>0</v>
      </c>
      <c r="N898" s="36">
        <v>200</v>
      </c>
      <c r="O898" s="36" t="s">
        <v>846</v>
      </c>
      <c r="P898" s="36" t="s">
        <v>846</v>
      </c>
      <c r="Q898" s="36" t="s">
        <v>5100</v>
      </c>
      <c r="R898" s="36" t="s">
        <v>5101</v>
      </c>
      <c r="S898" s="36" t="s">
        <v>68</v>
      </c>
      <c r="T898" s="36" t="s">
        <v>1608</v>
      </c>
      <c r="U898" s="36" t="s">
        <v>5097</v>
      </c>
      <c r="V898" s="36" t="s">
        <v>5098</v>
      </c>
      <c r="W898" s="249"/>
    </row>
    <row r="899" spans="2:23" x14ac:dyDescent="0.3">
      <c r="B899" s="22">
        <v>892</v>
      </c>
      <c r="C899" s="5" t="s">
        <v>2</v>
      </c>
      <c r="D899" s="36" t="s">
        <v>4610</v>
      </c>
      <c r="E899" s="36" t="s">
        <v>5102</v>
      </c>
      <c r="F899" s="36" t="s">
        <v>50</v>
      </c>
      <c r="G899" s="36" t="s">
        <v>167</v>
      </c>
      <c r="H899" s="36" t="s">
        <v>5103</v>
      </c>
      <c r="I899" s="36" t="s">
        <v>51</v>
      </c>
      <c r="J899" s="36">
        <v>2006</v>
      </c>
      <c r="K899" s="36">
        <v>0</v>
      </c>
      <c r="L899" s="36">
        <v>15</v>
      </c>
      <c r="M899" s="36">
        <v>0</v>
      </c>
      <c r="N899" s="36">
        <v>15</v>
      </c>
      <c r="O899" s="36" t="s">
        <v>846</v>
      </c>
      <c r="P899" s="36" t="s">
        <v>846</v>
      </c>
      <c r="Q899" s="36" t="s">
        <v>5104</v>
      </c>
      <c r="R899" s="36" t="s">
        <v>853</v>
      </c>
      <c r="S899" s="36" t="s">
        <v>68</v>
      </c>
      <c r="T899" s="36" t="s">
        <v>1608</v>
      </c>
      <c r="U899" s="36" t="s">
        <v>5097</v>
      </c>
      <c r="V899" s="36" t="s">
        <v>5098</v>
      </c>
      <c r="W899" s="249"/>
    </row>
    <row r="900" spans="2:23" x14ac:dyDescent="0.3">
      <c r="B900" s="22">
        <v>893</v>
      </c>
      <c r="C900" s="5" t="s">
        <v>2</v>
      </c>
      <c r="D900" s="36" t="s">
        <v>4610</v>
      </c>
      <c r="E900" s="36" t="s">
        <v>5105</v>
      </c>
      <c r="F900" s="36" t="s">
        <v>95</v>
      </c>
      <c r="G900" s="36" t="s">
        <v>167</v>
      </c>
      <c r="H900" s="36" t="s">
        <v>5095</v>
      </c>
      <c r="I900" s="36" t="s">
        <v>51</v>
      </c>
      <c r="J900" s="36">
        <v>2000</v>
      </c>
      <c r="K900" s="36">
        <v>0</v>
      </c>
      <c r="L900" s="36">
        <v>30</v>
      </c>
      <c r="M900" s="36">
        <v>0</v>
      </c>
      <c r="N900" s="36">
        <v>30</v>
      </c>
      <c r="O900" s="36" t="s">
        <v>846</v>
      </c>
      <c r="P900" s="36" t="s">
        <v>846</v>
      </c>
      <c r="Q900" s="36" t="s">
        <v>5096</v>
      </c>
      <c r="R900" s="36" t="s">
        <v>853</v>
      </c>
      <c r="S900" s="36" t="s">
        <v>68</v>
      </c>
      <c r="T900" s="36" t="s">
        <v>1608</v>
      </c>
      <c r="U900" s="36" t="s">
        <v>5097</v>
      </c>
      <c r="V900" s="36" t="s">
        <v>5098</v>
      </c>
      <c r="W900" s="249"/>
    </row>
    <row r="901" spans="2:23" x14ac:dyDescent="0.3">
      <c r="B901" s="22">
        <v>894</v>
      </c>
      <c r="C901" s="5" t="s">
        <v>2</v>
      </c>
      <c r="D901" s="36" t="s">
        <v>4642</v>
      </c>
      <c r="E901" s="224" t="s">
        <v>5106</v>
      </c>
      <c r="F901" s="36" t="s">
        <v>50</v>
      </c>
      <c r="G901" s="36" t="s">
        <v>167</v>
      </c>
      <c r="H901" s="36" t="s">
        <v>5107</v>
      </c>
      <c r="I901" s="36" t="s">
        <v>51</v>
      </c>
      <c r="J901" s="36">
        <v>2015</v>
      </c>
      <c r="K901" s="36">
        <v>0</v>
      </c>
      <c r="L901" s="36">
        <v>40</v>
      </c>
      <c r="M901" s="36">
        <v>0</v>
      </c>
      <c r="N901" s="36">
        <v>40</v>
      </c>
      <c r="O901" s="36" t="s">
        <v>846</v>
      </c>
      <c r="P901" s="36" t="s">
        <v>846</v>
      </c>
      <c r="Q901" s="5" t="s">
        <v>5108</v>
      </c>
      <c r="R901" s="36" t="s">
        <v>5101</v>
      </c>
      <c r="S901" s="36" t="s">
        <v>68</v>
      </c>
      <c r="T901" s="36" t="s">
        <v>1608</v>
      </c>
      <c r="U901" s="36" t="s">
        <v>5109</v>
      </c>
      <c r="V901" s="36" t="s">
        <v>5110</v>
      </c>
      <c r="W901" s="249"/>
    </row>
    <row r="902" spans="2:23" x14ac:dyDescent="0.3">
      <c r="B902" s="22">
        <v>895</v>
      </c>
      <c r="C902" s="5" t="s">
        <v>2</v>
      </c>
      <c r="D902" s="36" t="s">
        <v>5111</v>
      </c>
      <c r="E902" s="36" t="s">
        <v>5112</v>
      </c>
      <c r="F902" s="36" t="s">
        <v>106</v>
      </c>
      <c r="G902" s="36" t="s">
        <v>5113</v>
      </c>
      <c r="H902" s="36" t="s">
        <v>5114</v>
      </c>
      <c r="I902" s="36" t="s">
        <v>51</v>
      </c>
      <c r="J902" s="36">
        <v>1987</v>
      </c>
      <c r="K902" s="36">
        <v>0</v>
      </c>
      <c r="L902" s="36">
        <v>280</v>
      </c>
      <c r="M902" s="36">
        <v>0</v>
      </c>
      <c r="N902" s="36">
        <v>280</v>
      </c>
      <c r="O902" s="36" t="s">
        <v>846</v>
      </c>
      <c r="P902" s="36" t="s">
        <v>846</v>
      </c>
      <c r="Q902" s="36" t="s">
        <v>5115</v>
      </c>
      <c r="R902" s="36" t="s">
        <v>1259</v>
      </c>
      <c r="S902" s="36" t="s">
        <v>5116</v>
      </c>
      <c r="T902" s="36" t="s">
        <v>1608</v>
      </c>
      <c r="U902" s="36" t="s">
        <v>5117</v>
      </c>
      <c r="V902" s="36" t="s">
        <v>5118</v>
      </c>
      <c r="W902" s="249"/>
    </row>
    <row r="903" spans="2:23" x14ac:dyDescent="0.3">
      <c r="B903" s="22">
        <v>896</v>
      </c>
      <c r="C903" s="5" t="s">
        <v>2</v>
      </c>
      <c r="D903" s="36" t="s">
        <v>5111</v>
      </c>
      <c r="E903" s="36" t="s">
        <v>5119</v>
      </c>
      <c r="F903" s="36" t="s">
        <v>106</v>
      </c>
      <c r="G903" s="36" t="s">
        <v>167</v>
      </c>
      <c r="H903" s="36" t="s">
        <v>5120</v>
      </c>
      <c r="I903" s="36" t="s">
        <v>51</v>
      </c>
      <c r="J903" s="36">
        <v>2019</v>
      </c>
      <c r="K903" s="36">
        <v>0</v>
      </c>
      <c r="L903" s="36">
        <v>80</v>
      </c>
      <c r="M903" s="36">
        <v>0</v>
      </c>
      <c r="N903" s="36">
        <v>80</v>
      </c>
      <c r="O903" s="36" t="s">
        <v>846</v>
      </c>
      <c r="P903" s="36" t="s">
        <v>846</v>
      </c>
      <c r="Q903" s="36" t="s">
        <v>5115</v>
      </c>
      <c r="R903" s="36" t="s">
        <v>1259</v>
      </c>
      <c r="S903" s="36" t="s">
        <v>5116</v>
      </c>
      <c r="T903" s="36" t="s">
        <v>1608</v>
      </c>
      <c r="U903" s="36" t="s">
        <v>5117</v>
      </c>
      <c r="V903" s="36" t="s">
        <v>5118</v>
      </c>
      <c r="W903" s="249"/>
    </row>
    <row r="904" spans="2:23" x14ac:dyDescent="0.3">
      <c r="B904" s="22">
        <v>897</v>
      </c>
      <c r="C904" s="5" t="s">
        <v>2</v>
      </c>
      <c r="D904" s="36" t="s">
        <v>5121</v>
      </c>
      <c r="E904" s="36" t="s">
        <v>5122</v>
      </c>
      <c r="F904" s="36" t="s">
        <v>5123</v>
      </c>
      <c r="G904" s="36" t="s">
        <v>5124</v>
      </c>
      <c r="H904" s="36" t="s">
        <v>5125</v>
      </c>
      <c r="I904" s="36" t="s">
        <v>422</v>
      </c>
      <c r="J904" s="36">
        <v>2015</v>
      </c>
      <c r="K904" s="36">
        <v>0</v>
      </c>
      <c r="L904" s="36">
        <v>340</v>
      </c>
      <c r="M904" s="36">
        <v>0</v>
      </c>
      <c r="N904" s="36">
        <v>340</v>
      </c>
      <c r="O904" s="36" t="s">
        <v>77</v>
      </c>
      <c r="P904" s="36" t="s">
        <v>68</v>
      </c>
      <c r="Q904" s="36" t="s">
        <v>5126</v>
      </c>
      <c r="R904" s="36" t="s">
        <v>42</v>
      </c>
      <c r="S904" s="36" t="s">
        <v>5127</v>
      </c>
      <c r="T904" s="36" t="s">
        <v>1608</v>
      </c>
      <c r="U904" s="36" t="s">
        <v>5128</v>
      </c>
      <c r="V904" s="36" t="s">
        <v>5129</v>
      </c>
      <c r="W904" s="249"/>
    </row>
    <row r="905" spans="2:23" x14ac:dyDescent="0.3">
      <c r="B905" s="22">
        <v>898</v>
      </c>
      <c r="C905" s="5" t="s">
        <v>2</v>
      </c>
      <c r="D905" s="36" t="s">
        <v>5121</v>
      </c>
      <c r="E905" s="36" t="s">
        <v>5130</v>
      </c>
      <c r="F905" s="36" t="s">
        <v>5131</v>
      </c>
      <c r="G905" s="36" t="s">
        <v>167</v>
      </c>
      <c r="H905" s="36" t="s">
        <v>5132</v>
      </c>
      <c r="I905" s="36" t="s">
        <v>51</v>
      </c>
      <c r="J905" s="36">
        <v>2014</v>
      </c>
      <c r="K905" s="36">
        <v>0</v>
      </c>
      <c r="L905" s="36">
        <v>20</v>
      </c>
      <c r="M905" s="36">
        <v>10</v>
      </c>
      <c r="N905" s="36">
        <v>30</v>
      </c>
      <c r="O905" s="36" t="s">
        <v>4138</v>
      </c>
      <c r="P905" s="36" t="s">
        <v>68</v>
      </c>
      <c r="Q905" s="36" t="s">
        <v>5133</v>
      </c>
      <c r="R905" s="36" t="s">
        <v>1284</v>
      </c>
      <c r="S905" s="36" t="s">
        <v>68</v>
      </c>
      <c r="T905" s="36" t="s">
        <v>1608</v>
      </c>
      <c r="U905" s="36" t="s">
        <v>5128</v>
      </c>
      <c r="V905" s="36" t="s">
        <v>5129</v>
      </c>
      <c r="W905" s="249"/>
    </row>
    <row r="906" spans="2:23" x14ac:dyDescent="0.3">
      <c r="B906" s="22">
        <v>899</v>
      </c>
      <c r="C906" s="36" t="s">
        <v>2</v>
      </c>
      <c r="D906" s="36" t="s">
        <v>5134</v>
      </c>
      <c r="E906" s="36" t="s">
        <v>5135</v>
      </c>
      <c r="F906" s="36" t="s">
        <v>55</v>
      </c>
      <c r="G906" s="36" t="s">
        <v>5136</v>
      </c>
      <c r="H906" s="36" t="s">
        <v>5137</v>
      </c>
      <c r="I906" s="36" t="s">
        <v>51</v>
      </c>
      <c r="J906" s="36">
        <v>2014</v>
      </c>
      <c r="K906" s="36">
        <v>0</v>
      </c>
      <c r="L906" s="36">
        <v>370</v>
      </c>
      <c r="M906" s="36">
        <v>0</v>
      </c>
      <c r="N906" s="36">
        <v>370</v>
      </c>
      <c r="O906" s="36" t="s">
        <v>846</v>
      </c>
      <c r="P906" s="36" t="s">
        <v>846</v>
      </c>
      <c r="Q906" s="36" t="s">
        <v>5138</v>
      </c>
      <c r="R906" s="36" t="s">
        <v>42</v>
      </c>
      <c r="S906" s="36" t="s">
        <v>5139</v>
      </c>
      <c r="T906" s="36" t="s">
        <v>1608</v>
      </c>
      <c r="U906" s="36" t="s">
        <v>5140</v>
      </c>
      <c r="V906" s="36" t="s">
        <v>5141</v>
      </c>
      <c r="W906" s="249"/>
    </row>
    <row r="907" spans="2:23" x14ac:dyDescent="0.3">
      <c r="B907" s="22">
        <v>900</v>
      </c>
      <c r="C907" s="5" t="s">
        <v>2</v>
      </c>
      <c r="D907" s="36" t="s">
        <v>5142</v>
      </c>
      <c r="E907" s="36" t="s">
        <v>5143</v>
      </c>
      <c r="F907" s="36" t="s">
        <v>95</v>
      </c>
      <c r="G907" s="36" t="s">
        <v>5144</v>
      </c>
      <c r="H907" s="36" t="s">
        <v>5145</v>
      </c>
      <c r="I907" s="36" t="s">
        <v>51</v>
      </c>
      <c r="J907" s="36">
        <v>2011</v>
      </c>
      <c r="K907" s="36">
        <v>0</v>
      </c>
      <c r="L907" s="36">
        <v>60</v>
      </c>
      <c r="M907" s="36">
        <v>0</v>
      </c>
      <c r="N907" s="36">
        <v>60</v>
      </c>
      <c r="O907" s="36" t="s">
        <v>5146</v>
      </c>
      <c r="P907" s="36" t="s">
        <v>68</v>
      </c>
      <c r="Q907" s="36" t="s">
        <v>5147</v>
      </c>
      <c r="R907" s="36" t="s">
        <v>42</v>
      </c>
      <c r="S907" s="36" t="s">
        <v>5148</v>
      </c>
      <c r="T907" s="36" t="s">
        <v>1608</v>
      </c>
      <c r="U907" s="36" t="s">
        <v>5149</v>
      </c>
      <c r="V907" s="36" t="s">
        <v>5150</v>
      </c>
      <c r="W907" s="249"/>
    </row>
    <row r="908" spans="2:23" x14ac:dyDescent="0.3">
      <c r="B908" s="22">
        <v>901</v>
      </c>
      <c r="C908" s="5" t="s">
        <v>2</v>
      </c>
      <c r="D908" s="36" t="s">
        <v>5142</v>
      </c>
      <c r="E908" s="36" t="s">
        <v>5151</v>
      </c>
      <c r="F908" s="36" t="s">
        <v>50</v>
      </c>
      <c r="G908" s="36" t="s">
        <v>5152</v>
      </c>
      <c r="H908" s="36" t="s">
        <v>5153</v>
      </c>
      <c r="I908" s="36" t="s">
        <v>51</v>
      </c>
      <c r="J908" s="36">
        <v>2015</v>
      </c>
      <c r="K908" s="36">
        <v>0</v>
      </c>
      <c r="L908" s="36">
        <v>50</v>
      </c>
      <c r="M908" s="36">
        <v>0</v>
      </c>
      <c r="N908" s="36">
        <v>50</v>
      </c>
      <c r="O908" s="36" t="s">
        <v>846</v>
      </c>
      <c r="P908" s="36" t="s">
        <v>846</v>
      </c>
      <c r="Q908" s="36" t="s">
        <v>5154</v>
      </c>
      <c r="R908" s="36" t="s">
        <v>173</v>
      </c>
      <c r="S908" s="36" t="s">
        <v>4296</v>
      </c>
      <c r="T908" s="36" t="s">
        <v>1608</v>
      </c>
      <c r="U908" s="36" t="s">
        <v>5155</v>
      </c>
      <c r="V908" s="36" t="s">
        <v>5156</v>
      </c>
      <c r="W908" s="249"/>
    </row>
    <row r="909" spans="2:23" x14ac:dyDescent="0.3">
      <c r="B909" s="22">
        <v>902</v>
      </c>
      <c r="C909" s="5" t="s">
        <v>2</v>
      </c>
      <c r="D909" s="36" t="s">
        <v>5157</v>
      </c>
      <c r="E909" s="36" t="s">
        <v>5158</v>
      </c>
      <c r="F909" s="36" t="s">
        <v>55</v>
      </c>
      <c r="G909" s="36" t="s">
        <v>2557</v>
      </c>
      <c r="H909" s="36" t="s">
        <v>5159</v>
      </c>
      <c r="I909" s="36" t="s">
        <v>67</v>
      </c>
      <c r="J909" s="36">
        <v>1997</v>
      </c>
      <c r="K909" s="36">
        <v>0</v>
      </c>
      <c r="L909" s="36">
        <v>260</v>
      </c>
      <c r="M909" s="36">
        <v>0</v>
      </c>
      <c r="N909" s="36">
        <v>250</v>
      </c>
      <c r="O909" s="36" t="s">
        <v>2026</v>
      </c>
      <c r="P909" s="36" t="s">
        <v>68</v>
      </c>
      <c r="Q909" s="36" t="s">
        <v>5160</v>
      </c>
      <c r="R909" s="36" t="s">
        <v>42</v>
      </c>
      <c r="S909" s="36" t="s">
        <v>5161</v>
      </c>
      <c r="T909" s="36" t="s">
        <v>1608</v>
      </c>
      <c r="U909" s="36" t="s">
        <v>5162</v>
      </c>
      <c r="V909" s="36" t="s">
        <v>5163</v>
      </c>
      <c r="W909" s="249"/>
    </row>
    <row r="910" spans="2:23" x14ac:dyDescent="0.3">
      <c r="B910" s="22">
        <v>903</v>
      </c>
      <c r="C910" s="5" t="s">
        <v>2</v>
      </c>
      <c r="D910" s="36" t="s">
        <v>5157</v>
      </c>
      <c r="E910" s="36" t="s">
        <v>5164</v>
      </c>
      <c r="F910" s="36" t="s">
        <v>55</v>
      </c>
      <c r="G910" s="36" t="s">
        <v>167</v>
      </c>
      <c r="H910" s="36" t="s">
        <v>5165</v>
      </c>
      <c r="I910" s="36" t="s">
        <v>67</v>
      </c>
      <c r="J910" s="36">
        <v>2012</v>
      </c>
      <c r="K910" s="36">
        <v>0</v>
      </c>
      <c r="L910" s="36">
        <v>200</v>
      </c>
      <c r="M910" s="36">
        <v>0</v>
      </c>
      <c r="N910" s="36">
        <v>0</v>
      </c>
      <c r="O910" s="36" t="s">
        <v>846</v>
      </c>
      <c r="P910" s="36" t="s">
        <v>846</v>
      </c>
      <c r="Q910" s="36" t="s">
        <v>5160</v>
      </c>
      <c r="R910" s="36" t="s">
        <v>42</v>
      </c>
      <c r="S910" s="36" t="s">
        <v>5161</v>
      </c>
      <c r="T910" s="36" t="s">
        <v>1608</v>
      </c>
      <c r="U910" s="36" t="s">
        <v>5162</v>
      </c>
      <c r="V910" s="36" t="s">
        <v>5163</v>
      </c>
      <c r="W910" s="249"/>
    </row>
    <row r="911" spans="2:23" x14ac:dyDescent="0.3">
      <c r="B911" s="22">
        <v>904</v>
      </c>
      <c r="C911" s="22" t="s">
        <v>16</v>
      </c>
      <c r="D911" s="22" t="s">
        <v>53</v>
      </c>
      <c r="E911" s="22" t="s">
        <v>5166</v>
      </c>
      <c r="F911" s="22" t="s">
        <v>95</v>
      </c>
      <c r="G911" s="14" t="s">
        <v>5167</v>
      </c>
      <c r="H911" s="8" t="s">
        <v>5168</v>
      </c>
      <c r="I911" s="8" t="s">
        <v>422</v>
      </c>
      <c r="J911" s="8" t="s">
        <v>5169</v>
      </c>
      <c r="K911" s="8">
        <v>0</v>
      </c>
      <c r="L911" s="8">
        <v>240</v>
      </c>
      <c r="M911" s="8">
        <v>0</v>
      </c>
      <c r="N911" s="8">
        <v>240</v>
      </c>
      <c r="O911" s="8"/>
      <c r="P911" s="250"/>
      <c r="Q911" s="8" t="s">
        <v>5170</v>
      </c>
      <c r="R911" s="8" t="s">
        <v>2533</v>
      </c>
      <c r="S911" s="8" t="s">
        <v>5171</v>
      </c>
      <c r="T911" s="8"/>
      <c r="U911" s="8" t="s">
        <v>5172</v>
      </c>
      <c r="V911" s="8" t="s">
        <v>5173</v>
      </c>
    </row>
    <row r="912" spans="2:23" x14ac:dyDescent="0.3">
      <c r="B912" s="22">
        <v>905</v>
      </c>
      <c r="C912" s="22" t="s">
        <v>16</v>
      </c>
      <c r="D912" s="22" t="s">
        <v>53</v>
      </c>
      <c r="E912" s="22" t="s">
        <v>5174</v>
      </c>
      <c r="F912" s="22" t="s">
        <v>55</v>
      </c>
      <c r="G912" s="8" t="s">
        <v>5175</v>
      </c>
      <c r="H912" s="8" t="s">
        <v>5176</v>
      </c>
      <c r="I912" s="8" t="s">
        <v>67</v>
      </c>
      <c r="J912" s="8" t="s">
        <v>2478</v>
      </c>
      <c r="K912" s="8">
        <v>0</v>
      </c>
      <c r="L912" s="12">
        <v>1700</v>
      </c>
      <c r="M912" s="8">
        <v>0</v>
      </c>
      <c r="N912" s="12">
        <v>1700</v>
      </c>
      <c r="O912" s="12">
        <v>4200</v>
      </c>
      <c r="P912" s="250"/>
      <c r="Q912" s="8" t="s">
        <v>5177</v>
      </c>
      <c r="R912" s="8" t="s">
        <v>173</v>
      </c>
      <c r="S912" s="8"/>
      <c r="T912" s="8"/>
      <c r="U912" s="8" t="s">
        <v>5178</v>
      </c>
      <c r="V912" s="8" t="s">
        <v>5179</v>
      </c>
    </row>
    <row r="913" spans="2:22" x14ac:dyDescent="0.3">
      <c r="B913" s="22">
        <v>906</v>
      </c>
      <c r="C913" s="22" t="s">
        <v>16</v>
      </c>
      <c r="D913" s="22" t="s">
        <v>5180</v>
      </c>
      <c r="E913" s="22" t="s">
        <v>5181</v>
      </c>
      <c r="F913" s="22" t="s">
        <v>55</v>
      </c>
      <c r="G913" s="8" t="s">
        <v>440</v>
      </c>
      <c r="H913" s="8" t="s">
        <v>5182</v>
      </c>
      <c r="I913" s="8" t="s">
        <v>51</v>
      </c>
      <c r="J913" s="8" t="s">
        <v>2359</v>
      </c>
      <c r="K913" s="8">
        <v>0</v>
      </c>
      <c r="L913" s="8">
        <v>417</v>
      </c>
      <c r="M913" s="8">
        <v>0</v>
      </c>
      <c r="N913" s="8">
        <v>417</v>
      </c>
      <c r="O913" s="12">
        <v>5941</v>
      </c>
      <c r="P913" s="250"/>
      <c r="Q913" s="8"/>
      <c r="R913" s="8"/>
      <c r="S913" s="8"/>
      <c r="T913" s="8"/>
      <c r="U913" s="8" t="s">
        <v>5183</v>
      </c>
      <c r="V913" s="8" t="s">
        <v>5184</v>
      </c>
    </row>
    <row r="914" spans="2:22" x14ac:dyDescent="0.3">
      <c r="B914" s="22">
        <v>907</v>
      </c>
      <c r="C914" s="22" t="s">
        <v>16</v>
      </c>
      <c r="D914" s="22" t="s">
        <v>53</v>
      </c>
      <c r="E914" s="22" t="s">
        <v>5185</v>
      </c>
      <c r="F914" s="22" t="s">
        <v>55</v>
      </c>
      <c r="G914" s="8" t="s">
        <v>440</v>
      </c>
      <c r="H914" s="8" t="s">
        <v>5186</v>
      </c>
      <c r="I914" s="8" t="s">
        <v>51</v>
      </c>
      <c r="J914" s="8" t="s">
        <v>1301</v>
      </c>
      <c r="K914" s="8">
        <v>0</v>
      </c>
      <c r="L914" s="8">
        <v>20</v>
      </c>
      <c r="M914" s="8">
        <v>20</v>
      </c>
      <c r="N914" s="8">
        <v>40</v>
      </c>
      <c r="O914" s="12">
        <v>40000</v>
      </c>
      <c r="P914" s="250">
        <v>0</v>
      </c>
      <c r="Q914" s="8" t="s">
        <v>5187</v>
      </c>
      <c r="R914" s="8" t="s">
        <v>5188</v>
      </c>
      <c r="S914" s="8" t="s">
        <v>5189</v>
      </c>
      <c r="T914" s="8"/>
      <c r="U914" s="8" t="s">
        <v>5190</v>
      </c>
      <c r="V914" s="8" t="s">
        <v>5191</v>
      </c>
    </row>
    <row r="915" spans="2:22" x14ac:dyDescent="0.3">
      <c r="B915" s="22">
        <v>908</v>
      </c>
      <c r="C915" s="8" t="s">
        <v>16</v>
      </c>
      <c r="D915" s="8" t="s">
        <v>5192</v>
      </c>
      <c r="E915" s="8" t="s">
        <v>5193</v>
      </c>
      <c r="F915" s="8" t="s">
        <v>50</v>
      </c>
      <c r="G915" s="22" t="s">
        <v>5194</v>
      </c>
      <c r="H915" s="22" t="s">
        <v>5195</v>
      </c>
      <c r="I915" s="8" t="s">
        <v>67</v>
      </c>
      <c r="J915" s="22" t="s">
        <v>1352</v>
      </c>
      <c r="K915" s="22">
        <v>0</v>
      </c>
      <c r="L915" s="22">
        <v>150</v>
      </c>
      <c r="M915" s="22">
        <v>0</v>
      </c>
      <c r="N915" s="22">
        <v>150</v>
      </c>
      <c r="O915" s="8">
        <v>0</v>
      </c>
      <c r="P915" s="250">
        <v>0</v>
      </c>
      <c r="Q915" s="22" t="s">
        <v>5196</v>
      </c>
      <c r="R915" s="22" t="s">
        <v>173</v>
      </c>
      <c r="S915" s="8"/>
      <c r="T915" s="22"/>
      <c r="U915" s="8" t="s">
        <v>2270</v>
      </c>
      <c r="V915" s="8" t="s">
        <v>5197</v>
      </c>
    </row>
    <row r="916" spans="2:22" x14ac:dyDescent="0.3">
      <c r="B916" s="22">
        <v>909</v>
      </c>
      <c r="C916" s="8" t="s">
        <v>16</v>
      </c>
      <c r="D916" s="8" t="s">
        <v>5192</v>
      </c>
      <c r="E916" s="8" t="s">
        <v>5198</v>
      </c>
      <c r="F916" s="36" t="s">
        <v>50</v>
      </c>
      <c r="G916" s="36" t="s">
        <v>1038</v>
      </c>
      <c r="H916" s="36" t="s">
        <v>5199</v>
      </c>
      <c r="I916" s="36" t="s">
        <v>67</v>
      </c>
      <c r="J916" s="36" t="s">
        <v>5200</v>
      </c>
      <c r="K916" s="36">
        <v>0</v>
      </c>
      <c r="L916" s="93">
        <v>1568</v>
      </c>
      <c r="M916" s="36">
        <v>0</v>
      </c>
      <c r="N916" s="93">
        <v>1568</v>
      </c>
      <c r="O916" s="36" t="s">
        <v>5201</v>
      </c>
      <c r="P916" s="36">
        <v>0</v>
      </c>
      <c r="Q916" s="148" t="s">
        <v>5202</v>
      </c>
      <c r="R916" s="148" t="s">
        <v>69</v>
      </c>
      <c r="S916" s="36"/>
      <c r="T916" s="36"/>
      <c r="U916" s="36" t="s">
        <v>5203</v>
      </c>
      <c r="V916" s="36" t="s">
        <v>5204</v>
      </c>
    </row>
    <row r="917" spans="2:22" x14ac:dyDescent="0.3">
      <c r="B917" s="22">
        <v>910</v>
      </c>
      <c r="C917" s="8" t="s">
        <v>16</v>
      </c>
      <c r="D917" s="8" t="s">
        <v>5192</v>
      </c>
      <c r="E917" s="8" t="s">
        <v>5205</v>
      </c>
      <c r="F917" s="148" t="s">
        <v>55</v>
      </c>
      <c r="G917" s="148" t="s">
        <v>2552</v>
      </c>
      <c r="H917" s="148" t="s">
        <v>5206</v>
      </c>
      <c r="I917" s="210" t="s">
        <v>422</v>
      </c>
      <c r="J917" s="210" t="s">
        <v>2487</v>
      </c>
      <c r="K917" s="210">
        <v>0</v>
      </c>
      <c r="L917" s="210">
        <v>95</v>
      </c>
      <c r="M917" s="210">
        <v>0</v>
      </c>
      <c r="N917" s="210">
        <v>95</v>
      </c>
      <c r="O917" s="148">
        <v>0</v>
      </c>
      <c r="P917" s="148">
        <v>0</v>
      </c>
      <c r="Q917" s="148" t="s">
        <v>5207</v>
      </c>
      <c r="R917" s="148" t="s">
        <v>2533</v>
      </c>
      <c r="S917" s="210" t="s">
        <v>5208</v>
      </c>
      <c r="T917" s="210"/>
      <c r="U917" s="148" t="s">
        <v>5209</v>
      </c>
      <c r="V917" s="148" t="s">
        <v>5210</v>
      </c>
    </row>
    <row r="918" spans="2:22" x14ac:dyDescent="0.3">
      <c r="B918" s="22">
        <v>911</v>
      </c>
      <c r="C918" s="8" t="s">
        <v>16</v>
      </c>
      <c r="D918" s="8" t="s">
        <v>5192</v>
      </c>
      <c r="E918" s="8" t="s">
        <v>5211</v>
      </c>
      <c r="F918" s="22" t="s">
        <v>55</v>
      </c>
      <c r="G918" s="22" t="s">
        <v>5212</v>
      </c>
      <c r="H918" s="22" t="s">
        <v>5213</v>
      </c>
      <c r="I918" s="22" t="s">
        <v>67</v>
      </c>
      <c r="J918" s="22" t="s">
        <v>4648</v>
      </c>
      <c r="K918" s="22">
        <v>0</v>
      </c>
      <c r="L918" s="22">
        <v>40</v>
      </c>
      <c r="M918" s="22">
        <v>17.2</v>
      </c>
      <c r="N918" s="22">
        <v>57.2</v>
      </c>
      <c r="O918" s="22">
        <v>0</v>
      </c>
      <c r="P918" s="22">
        <v>0</v>
      </c>
      <c r="Q918" s="22" t="s">
        <v>5214</v>
      </c>
      <c r="R918" s="22" t="s">
        <v>2601</v>
      </c>
      <c r="S918" s="22" t="s">
        <v>5215</v>
      </c>
      <c r="T918" s="22"/>
      <c r="U918" s="22" t="s">
        <v>5216</v>
      </c>
      <c r="V918" s="22" t="s">
        <v>5217</v>
      </c>
    </row>
    <row r="919" spans="2:22" x14ac:dyDescent="0.3">
      <c r="B919" s="22">
        <v>912</v>
      </c>
      <c r="C919" s="8" t="s">
        <v>16</v>
      </c>
      <c r="D919" s="8" t="s">
        <v>5180</v>
      </c>
      <c r="E919" s="8" t="s">
        <v>5218</v>
      </c>
      <c r="F919" s="148" t="s">
        <v>95</v>
      </c>
      <c r="G919" s="148" t="s">
        <v>5219</v>
      </c>
      <c r="H919" s="148" t="s">
        <v>5220</v>
      </c>
      <c r="I919" s="148" t="s">
        <v>51</v>
      </c>
      <c r="J919" s="148" t="s">
        <v>2456</v>
      </c>
      <c r="K919" s="148">
        <v>0</v>
      </c>
      <c r="L919" s="148">
        <v>211</v>
      </c>
      <c r="M919" s="148">
        <v>0</v>
      </c>
      <c r="N919" s="148">
        <v>211</v>
      </c>
      <c r="O919" s="148" t="s">
        <v>5221</v>
      </c>
      <c r="P919" s="148">
        <v>0</v>
      </c>
      <c r="Q919" s="148" t="s">
        <v>5222</v>
      </c>
      <c r="R919" s="148" t="s">
        <v>69</v>
      </c>
      <c r="S919" s="148" t="s">
        <v>68</v>
      </c>
      <c r="T919" s="148"/>
      <c r="U919" s="148" t="s">
        <v>5183</v>
      </c>
      <c r="V919" s="148" t="s">
        <v>5223</v>
      </c>
    </row>
    <row r="920" spans="2:22" x14ac:dyDescent="0.3">
      <c r="B920" s="22">
        <v>913</v>
      </c>
      <c r="C920" s="8" t="s">
        <v>16</v>
      </c>
      <c r="D920" s="8" t="s">
        <v>5192</v>
      </c>
      <c r="E920" s="8" t="s">
        <v>5224</v>
      </c>
      <c r="F920" s="148" t="s">
        <v>390</v>
      </c>
      <c r="G920" s="148" t="s">
        <v>4023</v>
      </c>
      <c r="H920" s="148" t="s">
        <v>5225</v>
      </c>
      <c r="I920" s="148" t="s">
        <v>51</v>
      </c>
      <c r="J920" s="148" t="s">
        <v>1296</v>
      </c>
      <c r="K920" s="214">
        <v>0</v>
      </c>
      <c r="L920" s="148">
        <v>50</v>
      </c>
      <c r="M920" s="251">
        <v>21</v>
      </c>
      <c r="N920" s="148">
        <v>71</v>
      </c>
      <c r="O920" s="47" t="s">
        <v>4119</v>
      </c>
      <c r="P920" s="47" t="s">
        <v>5201</v>
      </c>
      <c r="Q920" s="148" t="s">
        <v>5226</v>
      </c>
      <c r="R920" s="148" t="s">
        <v>2533</v>
      </c>
      <c r="S920" s="148"/>
      <c r="T920" s="148"/>
      <c r="U920" s="148" t="s">
        <v>5227</v>
      </c>
      <c r="V920" s="148" t="s">
        <v>5228</v>
      </c>
    </row>
    <row r="921" spans="2:22" x14ac:dyDescent="0.3">
      <c r="B921" s="22">
        <v>914</v>
      </c>
      <c r="C921" s="8" t="s">
        <v>16</v>
      </c>
      <c r="D921" s="8" t="s">
        <v>5180</v>
      </c>
      <c r="E921" s="8" t="s">
        <v>5229</v>
      </c>
      <c r="F921" s="8" t="s">
        <v>55</v>
      </c>
      <c r="G921" s="8" t="s">
        <v>5230</v>
      </c>
      <c r="H921" s="8" t="s">
        <v>5231</v>
      </c>
      <c r="I921" s="8" t="s">
        <v>51</v>
      </c>
      <c r="J921" s="8" t="s">
        <v>1296</v>
      </c>
      <c r="K921" s="8">
        <v>0</v>
      </c>
      <c r="L921" s="8">
        <v>10</v>
      </c>
      <c r="M921" s="8">
        <v>0</v>
      </c>
      <c r="N921" s="8">
        <v>10</v>
      </c>
      <c r="O921" s="8" t="s">
        <v>1772</v>
      </c>
      <c r="P921" s="8">
        <v>0</v>
      </c>
      <c r="Q921" s="8" t="s">
        <v>5232</v>
      </c>
      <c r="R921" s="8" t="s">
        <v>2004</v>
      </c>
      <c r="S921" s="8" t="s">
        <v>5233</v>
      </c>
      <c r="T921" s="8"/>
      <c r="U921" s="8" t="s">
        <v>5234</v>
      </c>
      <c r="V921" s="8" t="s">
        <v>5235</v>
      </c>
    </row>
    <row r="922" spans="2:22" x14ac:dyDescent="0.3">
      <c r="B922" s="22">
        <v>915</v>
      </c>
      <c r="C922" s="8" t="s">
        <v>16</v>
      </c>
      <c r="D922" s="8" t="s">
        <v>5180</v>
      </c>
      <c r="E922" s="8" t="s">
        <v>5236</v>
      </c>
      <c r="F922" s="148" t="s">
        <v>390</v>
      </c>
      <c r="G922" s="148" t="s">
        <v>1232</v>
      </c>
      <c r="H922" s="148" t="s">
        <v>5237</v>
      </c>
      <c r="I922" s="148" t="s">
        <v>422</v>
      </c>
      <c r="J922" s="148" t="s">
        <v>2359</v>
      </c>
      <c r="K922" s="148">
        <v>0</v>
      </c>
      <c r="L922" s="148">
        <v>70</v>
      </c>
      <c r="M922" s="148">
        <v>30</v>
      </c>
      <c r="N922" s="148">
        <f>SUM(K922:M922)</f>
        <v>100</v>
      </c>
      <c r="O922" s="148">
        <v>0</v>
      </c>
      <c r="P922" s="252">
        <v>0</v>
      </c>
      <c r="Q922" s="148" t="s">
        <v>5238</v>
      </c>
      <c r="R922" s="148" t="s">
        <v>395</v>
      </c>
      <c r="S922" s="148" t="s">
        <v>5239</v>
      </c>
      <c r="T922" s="148"/>
      <c r="U922" s="148" t="s">
        <v>5240</v>
      </c>
      <c r="V922" s="148" t="s">
        <v>5241</v>
      </c>
    </row>
    <row r="923" spans="2:22" x14ac:dyDescent="0.3">
      <c r="B923" s="22">
        <v>916</v>
      </c>
      <c r="C923" s="8" t="s">
        <v>16</v>
      </c>
      <c r="D923" s="8" t="s">
        <v>5192</v>
      </c>
      <c r="E923" s="8" t="s">
        <v>5242</v>
      </c>
      <c r="F923" s="148" t="s">
        <v>50</v>
      </c>
      <c r="G923" s="148" t="s">
        <v>5243</v>
      </c>
      <c r="H923" s="148" t="s">
        <v>5244</v>
      </c>
      <c r="I923" s="148" t="s">
        <v>422</v>
      </c>
      <c r="J923" s="148" t="s">
        <v>1301</v>
      </c>
      <c r="K923" s="148">
        <v>0</v>
      </c>
      <c r="L923" s="148">
        <v>20</v>
      </c>
      <c r="M923" s="148">
        <v>8</v>
      </c>
      <c r="N923" s="148">
        <v>28</v>
      </c>
      <c r="O923" s="148">
        <v>0</v>
      </c>
      <c r="P923" s="148">
        <v>0</v>
      </c>
      <c r="Q923" s="148" t="s">
        <v>5245</v>
      </c>
      <c r="R923" s="148" t="s">
        <v>1274</v>
      </c>
      <c r="S923" s="148"/>
      <c r="T923" s="148"/>
      <c r="U923" s="148" t="s">
        <v>5246</v>
      </c>
      <c r="V923" s="148" t="s">
        <v>5247</v>
      </c>
    </row>
    <row r="924" spans="2:22" x14ac:dyDescent="0.3">
      <c r="B924" s="22">
        <v>917</v>
      </c>
      <c r="C924" s="8" t="s">
        <v>16</v>
      </c>
      <c r="D924" s="8" t="s">
        <v>53</v>
      </c>
      <c r="E924" s="8" t="s">
        <v>5248</v>
      </c>
      <c r="F924" s="148" t="s">
        <v>390</v>
      </c>
      <c r="G924" s="148" t="s">
        <v>220</v>
      </c>
      <c r="H924" s="148" t="s">
        <v>5249</v>
      </c>
      <c r="I924" s="148" t="s">
        <v>51</v>
      </c>
      <c r="J924" s="148" t="s">
        <v>1282</v>
      </c>
      <c r="K924" s="148">
        <v>0</v>
      </c>
      <c r="L924" s="148">
        <v>80</v>
      </c>
      <c r="M924" s="148">
        <v>80</v>
      </c>
      <c r="N924" s="148">
        <v>160</v>
      </c>
      <c r="O924" s="148">
        <v>0</v>
      </c>
      <c r="P924" s="148">
        <v>0</v>
      </c>
      <c r="Q924" s="148" t="s">
        <v>5250</v>
      </c>
      <c r="R924" s="148" t="s">
        <v>395</v>
      </c>
      <c r="S924" s="76"/>
      <c r="T924" s="76"/>
      <c r="U924" s="148" t="s">
        <v>5251</v>
      </c>
      <c r="V924" s="148" t="s">
        <v>5252</v>
      </c>
    </row>
    <row r="925" spans="2:22" x14ac:dyDescent="0.3">
      <c r="B925" s="22">
        <v>918</v>
      </c>
      <c r="C925" s="8" t="s">
        <v>16</v>
      </c>
      <c r="D925" s="8" t="s">
        <v>5180</v>
      </c>
      <c r="E925" s="8" t="s">
        <v>5253</v>
      </c>
      <c r="F925" s="148" t="s">
        <v>390</v>
      </c>
      <c r="G925" s="148" t="s">
        <v>5254</v>
      </c>
      <c r="H925" s="148" t="s">
        <v>5255</v>
      </c>
      <c r="I925" s="148" t="s">
        <v>51</v>
      </c>
      <c r="J925" s="148" t="s">
        <v>4693</v>
      </c>
      <c r="K925" s="148">
        <v>0</v>
      </c>
      <c r="L925" s="148">
        <v>27.5</v>
      </c>
      <c r="M925" s="148">
        <v>12.5</v>
      </c>
      <c r="N925" s="148">
        <v>40</v>
      </c>
      <c r="O925" s="225" t="s">
        <v>5256</v>
      </c>
      <c r="P925" s="148" t="s">
        <v>2167</v>
      </c>
      <c r="Q925" s="148" t="s">
        <v>5257</v>
      </c>
      <c r="R925" s="148" t="s">
        <v>853</v>
      </c>
      <c r="S925" s="148"/>
      <c r="T925" s="148"/>
      <c r="U925" s="148" t="s">
        <v>5258</v>
      </c>
      <c r="V925" s="148" t="s">
        <v>5259</v>
      </c>
    </row>
    <row r="926" spans="2:22" x14ac:dyDescent="0.3">
      <c r="B926" s="22">
        <v>919</v>
      </c>
      <c r="C926" s="8" t="s">
        <v>16</v>
      </c>
      <c r="D926" s="8" t="s">
        <v>5180</v>
      </c>
      <c r="E926" s="8" t="s">
        <v>5260</v>
      </c>
      <c r="F926" s="148" t="s">
        <v>5261</v>
      </c>
      <c r="G926" s="22" t="s">
        <v>5262</v>
      </c>
      <c r="H926" s="22" t="s">
        <v>5263</v>
      </c>
      <c r="I926" s="22" t="s">
        <v>51</v>
      </c>
      <c r="J926" s="22" t="s">
        <v>98</v>
      </c>
      <c r="K926" s="22">
        <v>0</v>
      </c>
      <c r="L926" s="22">
        <v>10</v>
      </c>
      <c r="M926" s="22">
        <v>0</v>
      </c>
      <c r="N926" s="22">
        <v>10</v>
      </c>
      <c r="O926" s="22">
        <v>0</v>
      </c>
      <c r="P926" s="22">
        <v>0</v>
      </c>
      <c r="Q926" s="22" t="s">
        <v>5264</v>
      </c>
      <c r="R926" s="22" t="s">
        <v>1284</v>
      </c>
      <c r="S926" s="8" t="s">
        <v>5233</v>
      </c>
      <c r="T926" s="22"/>
      <c r="U926" s="22" t="s">
        <v>5265</v>
      </c>
      <c r="V926" s="22" t="s">
        <v>5266</v>
      </c>
    </row>
    <row r="927" spans="2:22" x14ac:dyDescent="0.3">
      <c r="B927" s="22">
        <v>920</v>
      </c>
      <c r="C927" s="8" t="s">
        <v>16</v>
      </c>
      <c r="D927" s="8" t="s">
        <v>5192</v>
      </c>
      <c r="E927" s="8" t="s">
        <v>5267</v>
      </c>
      <c r="F927" s="148" t="s">
        <v>55</v>
      </c>
      <c r="G927" s="148" t="s">
        <v>5268</v>
      </c>
      <c r="H927" s="148" t="s">
        <v>5269</v>
      </c>
      <c r="I927" s="148" t="s">
        <v>51</v>
      </c>
      <c r="J927" s="148" t="s">
        <v>2405</v>
      </c>
      <c r="K927" s="148">
        <v>0</v>
      </c>
      <c r="L927" s="148">
        <v>50</v>
      </c>
      <c r="M927" s="148">
        <v>0</v>
      </c>
      <c r="N927" s="148">
        <v>50</v>
      </c>
      <c r="O927" s="148">
        <v>0</v>
      </c>
      <c r="P927" s="148">
        <v>0</v>
      </c>
      <c r="Q927" s="148" t="s">
        <v>5270</v>
      </c>
      <c r="R927" s="148" t="s">
        <v>69</v>
      </c>
      <c r="S927" s="253"/>
      <c r="T927" s="148"/>
      <c r="U927" s="148" t="s">
        <v>5271</v>
      </c>
      <c r="V927" s="148" t="s">
        <v>5272</v>
      </c>
    </row>
    <row r="928" spans="2:22" x14ac:dyDescent="0.3">
      <c r="B928" s="22">
        <v>921</v>
      </c>
      <c r="C928" s="8" t="s">
        <v>16</v>
      </c>
      <c r="D928" s="8" t="s">
        <v>5180</v>
      </c>
      <c r="E928" s="8" t="s">
        <v>5273</v>
      </c>
      <c r="F928" s="148" t="s">
        <v>35</v>
      </c>
      <c r="G928" s="148" t="s">
        <v>5274</v>
      </c>
      <c r="H928" s="148" t="s">
        <v>5275</v>
      </c>
      <c r="I928" s="148" t="s">
        <v>51</v>
      </c>
      <c r="J928" s="148" t="s">
        <v>2359</v>
      </c>
      <c r="K928" s="148">
        <v>0</v>
      </c>
      <c r="L928" s="148">
        <v>50</v>
      </c>
      <c r="M928" s="148">
        <v>0</v>
      </c>
      <c r="N928" s="148">
        <v>50</v>
      </c>
      <c r="O928" s="225">
        <v>3000</v>
      </c>
      <c r="P928" s="148">
        <v>0</v>
      </c>
      <c r="Q928" s="148" t="s">
        <v>5276</v>
      </c>
      <c r="R928" s="148"/>
      <c r="S928" s="148"/>
      <c r="T928" s="148"/>
      <c r="U928" s="36" t="s">
        <v>5277</v>
      </c>
      <c r="V928" s="148" t="s">
        <v>5278</v>
      </c>
    </row>
    <row r="929" spans="2:22" x14ac:dyDescent="0.3">
      <c r="B929" s="22">
        <v>922</v>
      </c>
      <c r="C929" s="8" t="s">
        <v>16</v>
      </c>
      <c r="D929" s="8" t="s">
        <v>5192</v>
      </c>
      <c r="E929" s="8" t="s">
        <v>5279</v>
      </c>
      <c r="F929" s="36" t="s">
        <v>95</v>
      </c>
      <c r="G929" s="36" t="s">
        <v>5280</v>
      </c>
      <c r="H929" s="36" t="s">
        <v>5281</v>
      </c>
      <c r="I929" s="36" t="s">
        <v>51</v>
      </c>
      <c r="J929" s="36" t="s">
        <v>4693</v>
      </c>
      <c r="K929" s="36">
        <v>0</v>
      </c>
      <c r="L929" s="20">
        <v>20</v>
      </c>
      <c r="M929" s="36">
        <v>8.5</v>
      </c>
      <c r="N929" s="36">
        <v>28.5</v>
      </c>
      <c r="O929" s="93">
        <v>0</v>
      </c>
      <c r="P929" s="36">
        <v>0</v>
      </c>
      <c r="Q929" s="36" t="s">
        <v>5282</v>
      </c>
      <c r="R929" s="36"/>
      <c r="S929" s="36"/>
      <c r="T929" s="36"/>
      <c r="U929" s="36" t="s">
        <v>5283</v>
      </c>
      <c r="V929" s="36" t="s">
        <v>5284</v>
      </c>
    </row>
    <row r="930" spans="2:22" x14ac:dyDescent="0.3">
      <c r="B930" s="22">
        <v>923</v>
      </c>
      <c r="C930" s="8" t="s">
        <v>16</v>
      </c>
      <c r="D930" s="8" t="s">
        <v>5180</v>
      </c>
      <c r="E930" s="8" t="s">
        <v>5285</v>
      </c>
      <c r="F930" s="148" t="s">
        <v>95</v>
      </c>
      <c r="G930" s="148" t="s">
        <v>193</v>
      </c>
      <c r="H930" s="148" t="s">
        <v>5286</v>
      </c>
      <c r="I930" s="148" t="s">
        <v>51</v>
      </c>
      <c r="J930" s="148" t="s">
        <v>4693</v>
      </c>
      <c r="K930" s="148">
        <v>0</v>
      </c>
      <c r="L930" s="148">
        <v>40</v>
      </c>
      <c r="M930" s="148">
        <v>0</v>
      </c>
      <c r="N930" s="148">
        <v>40</v>
      </c>
      <c r="O930" s="148" t="s">
        <v>1915</v>
      </c>
      <c r="P930" s="148" t="s">
        <v>1813</v>
      </c>
      <c r="Q930" s="148" t="s">
        <v>5287</v>
      </c>
      <c r="R930" s="148" t="s">
        <v>832</v>
      </c>
      <c r="S930" s="148" t="s">
        <v>5208</v>
      </c>
      <c r="T930" s="148"/>
      <c r="U930" s="148" t="s">
        <v>5288</v>
      </c>
      <c r="V930" s="148" t="s">
        <v>5289</v>
      </c>
    </row>
    <row r="931" spans="2:22" x14ac:dyDescent="0.3">
      <c r="B931" s="22">
        <v>924</v>
      </c>
      <c r="C931" s="8" t="s">
        <v>16</v>
      </c>
      <c r="D931" s="8" t="s">
        <v>5192</v>
      </c>
      <c r="E931" s="8" t="s">
        <v>5290</v>
      </c>
      <c r="F931" s="148" t="s">
        <v>35</v>
      </c>
      <c r="G931" s="148" t="s">
        <v>5291</v>
      </c>
      <c r="H931" s="148" t="s">
        <v>5292</v>
      </c>
      <c r="I931" s="148" t="s">
        <v>51</v>
      </c>
      <c r="J931" s="148" t="s">
        <v>1301</v>
      </c>
      <c r="K931" s="148">
        <v>0</v>
      </c>
      <c r="L931" s="148">
        <v>20</v>
      </c>
      <c r="M931" s="148">
        <v>0</v>
      </c>
      <c r="N931" s="148">
        <v>20</v>
      </c>
      <c r="O931" s="225" t="s">
        <v>1732</v>
      </c>
      <c r="P931" s="148" t="s">
        <v>4946</v>
      </c>
      <c r="Q931" s="148" t="s">
        <v>5293</v>
      </c>
      <c r="R931" s="148" t="s">
        <v>1274</v>
      </c>
      <c r="S931" s="148"/>
      <c r="T931" s="148"/>
      <c r="U931" s="148" t="s">
        <v>5294</v>
      </c>
      <c r="V931" s="148" t="s">
        <v>5295</v>
      </c>
    </row>
    <row r="932" spans="2:22" x14ac:dyDescent="0.3">
      <c r="B932" s="22">
        <v>925</v>
      </c>
      <c r="C932" s="8" t="s">
        <v>16</v>
      </c>
      <c r="D932" s="8" t="s">
        <v>5192</v>
      </c>
      <c r="E932" s="8" t="s">
        <v>5296</v>
      </c>
      <c r="F932" s="148" t="s">
        <v>1243</v>
      </c>
      <c r="G932" s="148" t="s">
        <v>1136</v>
      </c>
      <c r="H932" s="148" t="s">
        <v>5297</v>
      </c>
      <c r="I932" s="148" t="s">
        <v>51</v>
      </c>
      <c r="J932" s="148" t="s">
        <v>114</v>
      </c>
      <c r="K932" s="148">
        <v>0</v>
      </c>
      <c r="L932" s="225">
        <v>20</v>
      </c>
      <c r="M932" s="148">
        <v>0</v>
      </c>
      <c r="N932" s="225">
        <v>20</v>
      </c>
      <c r="O932" s="225" t="s">
        <v>5298</v>
      </c>
      <c r="P932" s="148">
        <v>0</v>
      </c>
      <c r="Q932" s="148" t="s">
        <v>5299</v>
      </c>
      <c r="R932" s="148" t="s">
        <v>35</v>
      </c>
      <c r="S932" s="148" t="s">
        <v>5300</v>
      </c>
      <c r="T932" s="148"/>
      <c r="U932" s="148" t="s">
        <v>5301</v>
      </c>
      <c r="V932" s="148" t="s">
        <v>5302</v>
      </c>
    </row>
    <row r="933" spans="2:22" x14ac:dyDescent="0.3">
      <c r="B933" s="22">
        <v>926</v>
      </c>
      <c r="C933" s="8" t="s">
        <v>16</v>
      </c>
      <c r="D933" s="8" t="s">
        <v>5180</v>
      </c>
      <c r="E933" s="8" t="s">
        <v>5303</v>
      </c>
      <c r="F933" s="148" t="s">
        <v>55</v>
      </c>
      <c r="G933" s="148" t="s">
        <v>5304</v>
      </c>
      <c r="H933" s="148" t="s">
        <v>5305</v>
      </c>
      <c r="I933" s="148" t="s">
        <v>51</v>
      </c>
      <c r="J933" s="148" t="s">
        <v>98</v>
      </c>
      <c r="K933" s="148">
        <v>0</v>
      </c>
      <c r="L933" s="148">
        <v>19</v>
      </c>
      <c r="M933" s="148">
        <v>19</v>
      </c>
      <c r="N933" s="148">
        <v>38</v>
      </c>
      <c r="O933" s="148" t="s">
        <v>5306</v>
      </c>
      <c r="P933" s="148" t="s">
        <v>2167</v>
      </c>
      <c r="Q933" s="148"/>
      <c r="R933" s="148"/>
      <c r="S933" s="148"/>
      <c r="T933" s="148"/>
      <c r="U933" s="148" t="s">
        <v>5307</v>
      </c>
      <c r="V933" s="148" t="s">
        <v>5308</v>
      </c>
    </row>
    <row r="934" spans="2:22" x14ac:dyDescent="0.3">
      <c r="B934" s="22">
        <v>927</v>
      </c>
      <c r="C934" s="8" t="s">
        <v>16</v>
      </c>
      <c r="D934" s="8" t="s">
        <v>5192</v>
      </c>
      <c r="E934" s="8" t="s">
        <v>5309</v>
      </c>
      <c r="F934" s="148" t="s">
        <v>55</v>
      </c>
      <c r="G934" s="148" t="s">
        <v>5310</v>
      </c>
      <c r="H934" s="148" t="s">
        <v>5311</v>
      </c>
      <c r="I934" s="148" t="s">
        <v>51</v>
      </c>
      <c r="J934" s="148" t="s">
        <v>1334</v>
      </c>
      <c r="K934" s="148">
        <v>0</v>
      </c>
      <c r="L934" s="148">
        <v>20</v>
      </c>
      <c r="M934" s="148">
        <v>0</v>
      </c>
      <c r="N934" s="148">
        <v>20</v>
      </c>
      <c r="O934" s="254" t="s">
        <v>1908</v>
      </c>
      <c r="P934" s="148">
        <v>0</v>
      </c>
      <c r="Q934" s="148" t="s">
        <v>5312</v>
      </c>
      <c r="R934" s="148" t="s">
        <v>69</v>
      </c>
      <c r="S934" s="148"/>
      <c r="T934" s="148"/>
      <c r="U934" s="148" t="s">
        <v>5313</v>
      </c>
      <c r="V934" s="148" t="s">
        <v>5314</v>
      </c>
    </row>
    <row r="935" spans="2:22" x14ac:dyDescent="0.3">
      <c r="B935" s="22">
        <v>928</v>
      </c>
      <c r="C935" s="8" t="s">
        <v>16</v>
      </c>
      <c r="D935" s="8" t="s">
        <v>5192</v>
      </c>
      <c r="E935" s="8" t="s">
        <v>5315</v>
      </c>
      <c r="F935" s="148" t="s">
        <v>55</v>
      </c>
      <c r="G935" s="148" t="s">
        <v>5316</v>
      </c>
      <c r="H935" s="148" t="s">
        <v>5317</v>
      </c>
      <c r="I935" s="148" t="s">
        <v>51</v>
      </c>
      <c r="J935" s="148" t="s">
        <v>1458</v>
      </c>
      <c r="K935" s="148">
        <v>0</v>
      </c>
      <c r="L935" s="148">
        <v>20</v>
      </c>
      <c r="M935" s="148">
        <v>0</v>
      </c>
      <c r="N935" s="148">
        <v>20</v>
      </c>
      <c r="O935" s="148" t="s">
        <v>5318</v>
      </c>
      <c r="P935" s="148" t="s">
        <v>2167</v>
      </c>
      <c r="Q935" s="148" t="s">
        <v>5319</v>
      </c>
      <c r="R935" s="148" t="s">
        <v>1274</v>
      </c>
      <c r="S935" s="148"/>
      <c r="T935" s="148"/>
      <c r="U935" s="148" t="s">
        <v>5320</v>
      </c>
      <c r="V935" s="148" t="s">
        <v>5321</v>
      </c>
    </row>
    <row r="936" spans="2:22" x14ac:dyDescent="0.3">
      <c r="B936" s="22">
        <v>929</v>
      </c>
      <c r="C936" s="8" t="s">
        <v>16</v>
      </c>
      <c r="D936" s="8" t="s">
        <v>5192</v>
      </c>
      <c r="E936" s="8" t="s">
        <v>5322</v>
      </c>
      <c r="F936" s="148" t="s">
        <v>5323</v>
      </c>
      <c r="G936" s="148" t="s">
        <v>5324</v>
      </c>
      <c r="H936" s="148" t="s">
        <v>5325</v>
      </c>
      <c r="I936" s="148" t="s">
        <v>67</v>
      </c>
      <c r="J936" s="148" t="s">
        <v>1321</v>
      </c>
      <c r="K936" s="148">
        <v>0</v>
      </c>
      <c r="L936" s="148">
        <v>488</v>
      </c>
      <c r="M936" s="148">
        <v>0</v>
      </c>
      <c r="N936" s="148">
        <v>488</v>
      </c>
      <c r="O936" s="148">
        <v>0</v>
      </c>
      <c r="P936" s="148">
        <v>0</v>
      </c>
      <c r="Q936" s="148" t="s">
        <v>5202</v>
      </c>
      <c r="R936" s="148" t="s">
        <v>69</v>
      </c>
      <c r="S936" s="148"/>
      <c r="T936" s="148"/>
      <c r="U936" s="148" t="s">
        <v>5326</v>
      </c>
      <c r="V936" s="148" t="s">
        <v>5327</v>
      </c>
    </row>
    <row r="937" spans="2:22" x14ac:dyDescent="0.3">
      <c r="B937" s="22">
        <v>930</v>
      </c>
      <c r="C937" s="8" t="s">
        <v>16</v>
      </c>
      <c r="D937" s="8" t="s">
        <v>5180</v>
      </c>
      <c r="E937" s="8" t="s">
        <v>5328</v>
      </c>
      <c r="F937" s="148" t="s">
        <v>5261</v>
      </c>
      <c r="G937" s="148" t="s">
        <v>5329</v>
      </c>
      <c r="H937" s="148" t="s">
        <v>5330</v>
      </c>
      <c r="I937" s="148" t="s">
        <v>51</v>
      </c>
      <c r="J937" s="148" t="s">
        <v>5331</v>
      </c>
      <c r="K937" s="148">
        <v>0</v>
      </c>
      <c r="L937" s="148">
        <v>30</v>
      </c>
      <c r="M937" s="148">
        <v>13</v>
      </c>
      <c r="N937" s="148">
        <v>43</v>
      </c>
      <c r="O937" s="148">
        <v>0</v>
      </c>
      <c r="P937" s="148">
        <v>0</v>
      </c>
      <c r="Q937" s="148" t="s">
        <v>5332</v>
      </c>
      <c r="R937" s="148" t="s">
        <v>1284</v>
      </c>
      <c r="S937" s="148" t="s">
        <v>5333</v>
      </c>
      <c r="T937" s="148"/>
      <c r="U937" s="148" t="s">
        <v>5334</v>
      </c>
      <c r="V937" s="148" t="s">
        <v>5335</v>
      </c>
    </row>
    <row r="938" spans="2:22" x14ac:dyDescent="0.3">
      <c r="B938" s="22">
        <v>931</v>
      </c>
      <c r="C938" s="8" t="s">
        <v>16</v>
      </c>
      <c r="D938" s="8" t="s">
        <v>53</v>
      </c>
      <c r="E938" s="8" t="s">
        <v>5336</v>
      </c>
      <c r="F938" s="148" t="s">
        <v>50</v>
      </c>
      <c r="G938" s="148" t="s">
        <v>422</v>
      </c>
      <c r="H938" s="148" t="s">
        <v>5337</v>
      </c>
      <c r="I938" s="148" t="s">
        <v>51</v>
      </c>
      <c r="J938" s="148" t="s">
        <v>2502</v>
      </c>
      <c r="K938" s="148">
        <v>0</v>
      </c>
      <c r="L938" s="148">
        <v>50</v>
      </c>
      <c r="M938" s="148">
        <v>0</v>
      </c>
      <c r="N938" s="148">
        <v>50</v>
      </c>
      <c r="O938" s="148"/>
      <c r="P938" s="148"/>
      <c r="Q938" s="148"/>
      <c r="R938" s="148"/>
      <c r="S938" s="148"/>
      <c r="T938" s="148"/>
      <c r="U938" s="22" t="s">
        <v>5338</v>
      </c>
      <c r="V938" s="148" t="s">
        <v>5339</v>
      </c>
    </row>
    <row r="939" spans="2:22" x14ac:dyDescent="0.3">
      <c r="B939" s="22">
        <v>932</v>
      </c>
      <c r="C939" s="8" t="s">
        <v>16</v>
      </c>
      <c r="D939" s="8" t="s">
        <v>53</v>
      </c>
      <c r="E939" s="8" t="s">
        <v>5340</v>
      </c>
      <c r="F939" s="8" t="s">
        <v>5341</v>
      </c>
      <c r="G939" s="22" t="s">
        <v>5136</v>
      </c>
      <c r="H939" s="22" t="s">
        <v>5342</v>
      </c>
      <c r="I939" s="8" t="s">
        <v>67</v>
      </c>
      <c r="J939" s="22" t="s">
        <v>1647</v>
      </c>
      <c r="K939" s="22">
        <v>0</v>
      </c>
      <c r="L939" s="22">
        <v>240</v>
      </c>
      <c r="M939" s="22">
        <v>0</v>
      </c>
      <c r="N939" s="22">
        <v>240</v>
      </c>
      <c r="O939" s="22">
        <v>0</v>
      </c>
      <c r="P939" s="22">
        <v>0</v>
      </c>
      <c r="Q939" s="22" t="s">
        <v>5343</v>
      </c>
      <c r="R939" s="22" t="s">
        <v>5344</v>
      </c>
      <c r="S939" s="22" t="s">
        <v>5345</v>
      </c>
      <c r="T939" s="22"/>
      <c r="U939" s="8" t="s">
        <v>5346</v>
      </c>
      <c r="V939" s="8" t="s">
        <v>5347</v>
      </c>
    </row>
    <row r="940" spans="2:22" x14ac:dyDescent="0.3">
      <c r="B940" s="22">
        <v>933</v>
      </c>
      <c r="C940" s="8" t="s">
        <v>16</v>
      </c>
      <c r="D940" s="8" t="s">
        <v>53</v>
      </c>
      <c r="E940" s="8" t="s">
        <v>5348</v>
      </c>
      <c r="F940" s="148" t="s">
        <v>390</v>
      </c>
      <c r="G940" s="148" t="s">
        <v>560</v>
      </c>
      <c r="H940" s="148" t="s">
        <v>5349</v>
      </c>
      <c r="I940" s="148" t="s">
        <v>51</v>
      </c>
      <c r="J940" s="148" t="s">
        <v>1334</v>
      </c>
      <c r="K940" s="148">
        <v>0</v>
      </c>
      <c r="L940" s="148">
        <v>48</v>
      </c>
      <c r="M940" s="148">
        <v>0</v>
      </c>
      <c r="N940" s="148">
        <v>48</v>
      </c>
      <c r="O940" s="76" t="s">
        <v>5350</v>
      </c>
      <c r="P940" s="22">
        <v>0</v>
      </c>
      <c r="Q940" s="148" t="s">
        <v>5351</v>
      </c>
      <c r="R940" s="148" t="s">
        <v>395</v>
      </c>
      <c r="S940" s="76"/>
      <c r="T940" s="76"/>
      <c r="U940" s="148" t="s">
        <v>5251</v>
      </c>
      <c r="V940" s="148" t="s">
        <v>5252</v>
      </c>
    </row>
    <row r="941" spans="2:22" x14ac:dyDescent="0.3">
      <c r="B941" s="22">
        <v>934</v>
      </c>
      <c r="C941" s="8" t="s">
        <v>16</v>
      </c>
      <c r="D941" s="8" t="s">
        <v>5192</v>
      </c>
      <c r="E941" s="8" t="s">
        <v>5352</v>
      </c>
      <c r="F941" s="148" t="s">
        <v>55</v>
      </c>
      <c r="G941" s="148" t="s">
        <v>560</v>
      </c>
      <c r="H941" s="148" t="s">
        <v>5353</v>
      </c>
      <c r="I941" s="148" t="s">
        <v>51</v>
      </c>
      <c r="J941" s="148" t="s">
        <v>1334</v>
      </c>
      <c r="K941" s="148">
        <v>0</v>
      </c>
      <c r="L941" s="148">
        <v>50</v>
      </c>
      <c r="M941" s="148">
        <v>23</v>
      </c>
      <c r="N941" s="148">
        <v>73</v>
      </c>
      <c r="O941" s="148" t="s">
        <v>1801</v>
      </c>
      <c r="P941" s="148" t="s">
        <v>2167</v>
      </c>
      <c r="Q941" s="148" t="s">
        <v>5354</v>
      </c>
      <c r="R941" s="148" t="s">
        <v>395</v>
      </c>
      <c r="S941" s="148" t="s">
        <v>5355</v>
      </c>
      <c r="T941" s="148"/>
      <c r="U941" s="148" t="s">
        <v>5356</v>
      </c>
      <c r="V941" s="148" t="s">
        <v>5357</v>
      </c>
    </row>
    <row r="942" spans="2:22" x14ac:dyDescent="0.3">
      <c r="B942" s="22">
        <v>935</v>
      </c>
      <c r="C942" s="8" t="s">
        <v>16</v>
      </c>
      <c r="D942" s="8" t="s">
        <v>5192</v>
      </c>
      <c r="E942" s="8" t="s">
        <v>5358</v>
      </c>
      <c r="F942" s="5" t="s">
        <v>50</v>
      </c>
      <c r="G942" s="5" t="s">
        <v>1240</v>
      </c>
      <c r="H942" s="5" t="s">
        <v>5359</v>
      </c>
      <c r="I942" s="5" t="s">
        <v>51</v>
      </c>
      <c r="J942" s="5" t="s">
        <v>1467</v>
      </c>
      <c r="K942" s="5">
        <v>0</v>
      </c>
      <c r="L942" s="5">
        <v>50</v>
      </c>
      <c r="M942" s="5">
        <v>0</v>
      </c>
      <c r="N942" s="5">
        <v>50</v>
      </c>
      <c r="O942" s="5" t="s">
        <v>1746</v>
      </c>
      <c r="P942" s="5">
        <v>0</v>
      </c>
      <c r="Q942" s="242" t="s">
        <v>5360</v>
      </c>
      <c r="R942" s="22" t="s">
        <v>5344</v>
      </c>
      <c r="S942" s="5"/>
      <c r="T942" s="5"/>
      <c r="U942" s="5" t="s">
        <v>5361</v>
      </c>
      <c r="V942" s="5" t="s">
        <v>5362</v>
      </c>
    </row>
    <row r="943" spans="2:22" x14ac:dyDescent="0.3">
      <c r="B943" s="22">
        <v>936</v>
      </c>
      <c r="C943" s="8" t="s">
        <v>16</v>
      </c>
      <c r="D943" s="8" t="s">
        <v>5192</v>
      </c>
      <c r="E943" s="8" t="s">
        <v>5363</v>
      </c>
      <c r="F943" s="22" t="s">
        <v>50</v>
      </c>
      <c r="G943" s="22" t="s">
        <v>5364</v>
      </c>
      <c r="H943" s="22" t="s">
        <v>5365</v>
      </c>
      <c r="I943" s="22" t="s">
        <v>51</v>
      </c>
      <c r="J943" s="22" t="s">
        <v>98</v>
      </c>
      <c r="K943" s="22">
        <v>0</v>
      </c>
      <c r="L943" s="22">
        <v>20</v>
      </c>
      <c r="M943" s="22">
        <v>9</v>
      </c>
      <c r="N943" s="22">
        <v>29</v>
      </c>
      <c r="O943" s="22" t="s">
        <v>5366</v>
      </c>
      <c r="P943" s="148" t="s">
        <v>2167</v>
      </c>
      <c r="Q943" s="22" t="s">
        <v>5367</v>
      </c>
      <c r="R943" s="22" t="s">
        <v>1311</v>
      </c>
      <c r="S943" s="22"/>
      <c r="T943" s="22"/>
      <c r="U943" s="22" t="s">
        <v>5368</v>
      </c>
      <c r="V943" s="22" t="s">
        <v>5369</v>
      </c>
    </row>
    <row r="944" spans="2:22" x14ac:dyDescent="0.3">
      <c r="B944" s="22">
        <v>937</v>
      </c>
      <c r="C944" s="8" t="s">
        <v>16</v>
      </c>
      <c r="D944" s="8" t="s">
        <v>53</v>
      </c>
      <c r="E944" s="8" t="s">
        <v>5370</v>
      </c>
      <c r="F944" s="22" t="s">
        <v>390</v>
      </c>
      <c r="G944" s="22" t="s">
        <v>440</v>
      </c>
      <c r="H944" s="22" t="s">
        <v>5371</v>
      </c>
      <c r="I944" s="22" t="s">
        <v>51</v>
      </c>
      <c r="J944" s="22" t="s">
        <v>4648</v>
      </c>
      <c r="K944" s="22">
        <v>0</v>
      </c>
      <c r="L944" s="22">
        <v>40</v>
      </c>
      <c r="M944" s="22">
        <v>40</v>
      </c>
      <c r="N944" s="22">
        <f>SUM(K944:M944)</f>
        <v>80</v>
      </c>
      <c r="O944" s="22">
        <v>0</v>
      </c>
      <c r="P944" s="22">
        <v>0</v>
      </c>
      <c r="Q944" s="22" t="s">
        <v>5372</v>
      </c>
      <c r="R944" s="22" t="s">
        <v>395</v>
      </c>
      <c r="S944" s="22"/>
      <c r="T944" s="22"/>
      <c r="U944" s="22" t="s">
        <v>5373</v>
      </c>
      <c r="V944" s="22" t="s">
        <v>5374</v>
      </c>
    </row>
    <row r="945" spans="2:22" x14ac:dyDescent="0.3">
      <c r="B945" s="22">
        <v>938</v>
      </c>
      <c r="C945" s="8" t="s">
        <v>16</v>
      </c>
      <c r="D945" s="8" t="s">
        <v>53</v>
      </c>
      <c r="E945" s="8" t="s">
        <v>5375</v>
      </c>
      <c r="F945" s="148" t="s">
        <v>390</v>
      </c>
      <c r="G945" s="148" t="s">
        <v>440</v>
      </c>
      <c r="H945" s="148" t="s">
        <v>5376</v>
      </c>
      <c r="I945" s="148" t="s">
        <v>51</v>
      </c>
      <c r="J945" s="148" t="s">
        <v>4648</v>
      </c>
      <c r="K945" s="148">
        <v>0</v>
      </c>
      <c r="L945" s="148">
        <v>54</v>
      </c>
      <c r="M945" s="148">
        <v>54</v>
      </c>
      <c r="N945" s="148">
        <v>108</v>
      </c>
      <c r="O945" s="23" t="s">
        <v>401</v>
      </c>
      <c r="P945" s="225">
        <v>0</v>
      </c>
      <c r="Q945" s="148" t="s">
        <v>5377</v>
      </c>
      <c r="R945" s="148" t="s">
        <v>395</v>
      </c>
      <c r="S945" s="148"/>
      <c r="T945" s="148"/>
      <c r="U945" s="148" t="s">
        <v>5378</v>
      </c>
      <c r="V945" s="148" t="s">
        <v>5379</v>
      </c>
    </row>
    <row r="946" spans="2:22" x14ac:dyDescent="0.3">
      <c r="B946" s="22">
        <v>939</v>
      </c>
      <c r="C946" s="8" t="s">
        <v>16</v>
      </c>
      <c r="D946" s="8" t="s">
        <v>5180</v>
      </c>
      <c r="E946" s="8" t="s">
        <v>5380</v>
      </c>
      <c r="F946" s="148" t="s">
        <v>55</v>
      </c>
      <c r="G946" s="148" t="s">
        <v>440</v>
      </c>
      <c r="H946" s="148" t="s">
        <v>5182</v>
      </c>
      <c r="I946" s="148" t="s">
        <v>51</v>
      </c>
      <c r="J946" s="148" t="s">
        <v>2359</v>
      </c>
      <c r="K946" s="148">
        <v>0</v>
      </c>
      <c r="L946" s="148">
        <v>417</v>
      </c>
      <c r="M946" s="148">
        <v>0</v>
      </c>
      <c r="N946" s="148">
        <v>417</v>
      </c>
      <c r="O946" s="148" t="s">
        <v>5381</v>
      </c>
      <c r="P946" s="148">
        <v>0</v>
      </c>
      <c r="Q946" s="148" t="s">
        <v>5222</v>
      </c>
      <c r="R946" s="148" t="s">
        <v>69</v>
      </c>
      <c r="S946" s="148"/>
      <c r="T946" s="148"/>
      <c r="U946" s="148" t="s">
        <v>5183</v>
      </c>
      <c r="V946" s="148" t="s">
        <v>5223</v>
      </c>
    </row>
    <row r="947" spans="2:22" x14ac:dyDescent="0.3">
      <c r="B947" s="22">
        <v>940</v>
      </c>
      <c r="C947" s="8" t="s">
        <v>16</v>
      </c>
      <c r="D947" s="8" t="s">
        <v>5180</v>
      </c>
      <c r="E947" s="8" t="s">
        <v>5382</v>
      </c>
      <c r="F947" s="148" t="s">
        <v>106</v>
      </c>
      <c r="G947" s="148" t="s">
        <v>440</v>
      </c>
      <c r="H947" s="148" t="s">
        <v>5383</v>
      </c>
      <c r="I947" s="148" t="s">
        <v>51</v>
      </c>
      <c r="J947" s="148" t="s">
        <v>2359</v>
      </c>
      <c r="K947" s="148">
        <v>0</v>
      </c>
      <c r="L947" s="148">
        <v>70</v>
      </c>
      <c r="M947" s="148">
        <v>30</v>
      </c>
      <c r="N947" s="148">
        <v>100</v>
      </c>
      <c r="O947" s="255">
        <v>0</v>
      </c>
      <c r="P947" s="148">
        <v>0</v>
      </c>
      <c r="Q947" s="148" t="s">
        <v>68</v>
      </c>
      <c r="R947" s="148" t="s">
        <v>68</v>
      </c>
      <c r="S947" s="256"/>
      <c r="T947" s="148"/>
      <c r="U947" s="148" t="s">
        <v>5384</v>
      </c>
      <c r="V947" s="148" t="s">
        <v>5385</v>
      </c>
    </row>
    <row r="948" spans="2:22" x14ac:dyDescent="0.3">
      <c r="B948" s="22">
        <v>941</v>
      </c>
      <c r="C948" s="8" t="s">
        <v>16</v>
      </c>
      <c r="D948" s="8" t="s">
        <v>5192</v>
      </c>
      <c r="E948" s="8" t="s">
        <v>5386</v>
      </c>
      <c r="F948" s="148" t="s">
        <v>95</v>
      </c>
      <c r="G948" s="148" t="s">
        <v>440</v>
      </c>
      <c r="H948" s="148" t="s">
        <v>5387</v>
      </c>
      <c r="I948" s="148" t="s">
        <v>51</v>
      </c>
      <c r="J948" s="148" t="s">
        <v>1296</v>
      </c>
      <c r="K948" s="148">
        <v>0</v>
      </c>
      <c r="L948" s="148">
        <v>20</v>
      </c>
      <c r="M948" s="148">
        <v>20</v>
      </c>
      <c r="N948" s="148">
        <v>40</v>
      </c>
      <c r="O948" s="148" t="s">
        <v>1746</v>
      </c>
      <c r="P948" s="148">
        <v>0</v>
      </c>
      <c r="Q948" s="148" t="s">
        <v>5388</v>
      </c>
      <c r="R948" s="148" t="s">
        <v>5344</v>
      </c>
      <c r="S948" s="148"/>
      <c r="T948" s="148"/>
      <c r="U948" s="148" t="s">
        <v>5389</v>
      </c>
      <c r="V948" s="148" t="s">
        <v>5390</v>
      </c>
    </row>
    <row r="949" spans="2:22" x14ac:dyDescent="0.3">
      <c r="B949" s="22">
        <v>942</v>
      </c>
      <c r="C949" s="8" t="s">
        <v>16</v>
      </c>
      <c r="D949" s="8" t="s">
        <v>5391</v>
      </c>
      <c r="E949" s="8" t="s">
        <v>5392</v>
      </c>
      <c r="F949" s="5" t="s">
        <v>259</v>
      </c>
      <c r="G949" s="5" t="s">
        <v>334</v>
      </c>
      <c r="H949" s="5" t="s">
        <v>5393</v>
      </c>
      <c r="I949" s="5" t="s">
        <v>51</v>
      </c>
      <c r="J949" s="5" t="s">
        <v>1641</v>
      </c>
      <c r="K949" s="5">
        <v>0</v>
      </c>
      <c r="L949" s="5">
        <v>20</v>
      </c>
      <c r="M949" s="5">
        <v>0</v>
      </c>
      <c r="N949" s="5">
        <v>20</v>
      </c>
      <c r="O949" s="5" t="s">
        <v>5394</v>
      </c>
      <c r="P949" s="5" t="s">
        <v>5395</v>
      </c>
      <c r="Q949" s="5" t="s">
        <v>5396</v>
      </c>
      <c r="R949" s="5" t="s">
        <v>395</v>
      </c>
      <c r="S949" s="5"/>
      <c r="T949" s="5"/>
      <c r="U949" s="5" t="s">
        <v>5397</v>
      </c>
      <c r="V949" s="5" t="s">
        <v>5398</v>
      </c>
    </row>
    <row r="950" spans="2:22" x14ac:dyDescent="0.3">
      <c r="B950" s="22">
        <v>943</v>
      </c>
      <c r="C950" s="8" t="s">
        <v>16</v>
      </c>
      <c r="D950" s="8" t="s">
        <v>53</v>
      </c>
      <c r="E950" s="8" t="s">
        <v>5399</v>
      </c>
      <c r="F950" s="148" t="s">
        <v>390</v>
      </c>
      <c r="G950" s="148" t="s">
        <v>702</v>
      </c>
      <c r="H950" s="148" t="s">
        <v>5400</v>
      </c>
      <c r="I950" s="148" t="s">
        <v>51</v>
      </c>
      <c r="J950" s="148" t="s">
        <v>170</v>
      </c>
      <c r="K950" s="148">
        <v>0</v>
      </c>
      <c r="L950" s="148">
        <v>100</v>
      </c>
      <c r="M950" s="148">
        <v>43</v>
      </c>
      <c r="N950" s="148">
        <v>143</v>
      </c>
      <c r="O950" s="76" t="s">
        <v>4231</v>
      </c>
      <c r="P950" s="148" t="s">
        <v>2167</v>
      </c>
      <c r="Q950" s="148" t="s">
        <v>5401</v>
      </c>
      <c r="R950" s="148" t="s">
        <v>357</v>
      </c>
      <c r="S950" s="76"/>
      <c r="T950" s="76"/>
      <c r="U950" s="148" t="s">
        <v>5251</v>
      </c>
      <c r="V950" s="148" t="s">
        <v>5252</v>
      </c>
    </row>
    <row r="951" spans="2:22" x14ac:dyDescent="0.3">
      <c r="B951" s="22">
        <v>944</v>
      </c>
      <c r="C951" s="8" t="s">
        <v>16</v>
      </c>
      <c r="D951" s="8" t="s">
        <v>5192</v>
      </c>
      <c r="E951" s="8" t="s">
        <v>5402</v>
      </c>
      <c r="F951" s="148" t="s">
        <v>55</v>
      </c>
      <c r="G951" s="148" t="s">
        <v>422</v>
      </c>
      <c r="H951" s="148" t="s">
        <v>422</v>
      </c>
      <c r="I951" s="148" t="s">
        <v>51</v>
      </c>
      <c r="J951" s="148"/>
      <c r="K951" s="148">
        <v>0</v>
      </c>
      <c r="L951" s="148">
        <v>35</v>
      </c>
      <c r="M951" s="148">
        <v>0</v>
      </c>
      <c r="N951" s="148">
        <v>35</v>
      </c>
      <c r="O951" s="148" t="s">
        <v>5403</v>
      </c>
      <c r="P951" s="148">
        <v>0</v>
      </c>
      <c r="Q951" s="148" t="s">
        <v>5312</v>
      </c>
      <c r="R951" s="148" t="s">
        <v>69</v>
      </c>
      <c r="S951" s="148"/>
      <c r="T951" s="148"/>
      <c r="U951" s="148" t="s">
        <v>5404</v>
      </c>
      <c r="V951" s="148" t="s">
        <v>5405</v>
      </c>
    </row>
  </sheetData>
  <mergeCells count="15">
    <mergeCell ref="B3:V3"/>
    <mergeCell ref="K6:N6"/>
    <mergeCell ref="T6:T7"/>
    <mergeCell ref="I6:I7"/>
    <mergeCell ref="H6:H7"/>
    <mergeCell ref="U6:V6"/>
    <mergeCell ref="Q6:S6"/>
    <mergeCell ref="O6:P6"/>
    <mergeCell ref="B6:B7"/>
    <mergeCell ref="C6:C7"/>
    <mergeCell ref="D6:D7"/>
    <mergeCell ref="E6:E7"/>
    <mergeCell ref="F6:F7"/>
    <mergeCell ref="G6:G7"/>
    <mergeCell ref="J6:J7"/>
  </mergeCells>
  <phoneticPr fontId="2" type="noConversion"/>
  <dataValidations count="4">
    <dataValidation type="list" allowBlank="1" showInputMessage="1" showErrorMessage="1" sqref="F550:F560" xr:uid="{E56883D9-8A3B-4872-BF53-10594A1569E8}">
      <formula1>$Q$210:$Q$215</formula1>
    </dataValidation>
    <dataValidation type="list" allowBlank="1" showInputMessage="1" showErrorMessage="1" sqref="F545" xr:uid="{7F901A6D-F39D-4E28-842C-C30A10E9F89B}">
      <formula1>$P$200:$P$205</formula1>
    </dataValidation>
    <dataValidation type="list" allowBlank="1" showInputMessage="1" showErrorMessage="1" sqref="F264" xr:uid="{CB8E23F9-5F24-4C18-83C0-0D586F0C0D59}">
      <formula1>#REF!</formula1>
    </dataValidation>
    <dataValidation type="list" allowBlank="1" showInputMessage="1" showErrorMessage="1" sqref="F843:F844" xr:uid="{6150B49B-1EC4-42CB-B0BF-DCF76A7081A3}">
      <formula1>$O$189:$O$194</formula1>
    </dataValidation>
  </dataValidations>
  <pageMargins left="0.7" right="0.7" top="0.75" bottom="0.75" header="0.3" footer="0.3"/>
  <pageSetup paperSize="9" scale="2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총괄</vt:lpstr>
      <vt:lpstr>세부현황</vt:lpstr>
      <vt:lpstr>세부현황!Print_Area</vt:lpstr>
      <vt:lpstr>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mcst</cp:lastModifiedBy>
  <dcterms:created xsi:type="dcterms:W3CDTF">2021-12-09T07:20:29Z</dcterms:created>
  <dcterms:modified xsi:type="dcterms:W3CDTF">2022-03-03T07:15:15Z</dcterms:modified>
</cp:coreProperties>
</file>